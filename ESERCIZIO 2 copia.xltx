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/>
  <workbookPr defaultThemeVersion="124226"/>
  <mc:AlternateContent xmlns:mc="http://schemas.openxmlformats.org/markup-compatibility/2006">
    <mc:Choice Requires="x15">
      <x15ac:absPath xmlns:x15ac="http://schemas.microsoft.com/office/spreadsheetml/2010/11/ac" url="/Users/dariateresaghersini/Documents/"/>
    </mc:Choice>
  </mc:AlternateContent>
  <xr:revisionPtr revIDLastSave="0" documentId="8_{F4EDE678-6C73-404F-8EAB-4DEF0AA642E1}" xr6:coauthVersionLast="47" xr6:coauthVersionMax="47" xr10:uidLastSave="{00000000-0000-0000-0000-000000000000}"/>
  <bookViews>
    <workbookView xWindow="0" yWindow="500" windowWidth="28800" windowHeight="16140" xr2:uid="{00000000-000D-0000-FFFF-FFFF00000000}"/>
  </bookViews>
  <sheets>
    <sheet name="Assoluti_Iva" sheetId="15" r:id="rId1"/>
    <sheet name="LOGICA" sheetId="8" r:id="rId2"/>
    <sheet name="CONTA" sheetId="32" r:id="rId3"/>
  </sheets>
  <definedNames>
    <definedName name="_xlnm._FilterDatabase" localSheetId="0" hidden="1">Assoluti_Iva!$B$4:$C$340</definedName>
    <definedName name="_xlnm._FilterDatabase" localSheetId="2" hidden="1">CONTA!$B$1:$B$110</definedName>
    <definedName name="_xlnm._FilterDatabase" localSheetId="1" hidden="1">LOGICA!$A$1:$D$80</definedName>
    <definedName name="abitanti">CONTA!$B$2:$B$110</definedName>
    <definedName name="ACCES">Assoluti_Iva!$A$196:$C$230</definedName>
    <definedName name="_xlnm.Print_Area" localSheetId="0">Assoluti_Iva!$A$4:$A$340</definedName>
    <definedName name="CAB">Assoluti_Iva!$A$318:$C$327</definedName>
    <definedName name="cate">LOGICA!$C$2:$C$80</definedName>
    <definedName name="categoria">Assoluti_Iva!$B$5:$B$340</definedName>
    <definedName name="CDROM">Assoluti_Iva!$A$111:$C$118</definedName>
    <definedName name="clie">LOGICA!$B$2:$B$80</definedName>
    <definedName name="clienti">Assoluti_Iva!$A$5:$A$340</definedName>
    <definedName name="Codice">#REF!</definedName>
    <definedName name="comuni">CONTA!$A$2:$A$110</definedName>
    <definedName name="CONT">Assoluti_Iva!$A$329:$C$340</definedName>
    <definedName name="CPU">Assoluti_Iva!$A$166:$C$186</definedName>
    <definedName name="DANIELE">#REF!</definedName>
    <definedName name="DATI">Assoluti_Iva!$A$4:$C$340</definedName>
    <definedName name="HD">Assoluti_Iva!$A$82:$C$105</definedName>
    <definedName name="impo">Assoluti_Iva!$C$5:$C$340</definedName>
    <definedName name="import">LOGICA!$D$2:$D$80</definedName>
    <definedName name="IMPORTO">#REF!</definedName>
    <definedName name="IO_B">Assoluti_Iva!$A$66:$C$80</definedName>
    <definedName name="IVATOT">Assoluti_Iva!#REF!</definedName>
    <definedName name="MAIN_B">Assoluti_Iva!$A$23:$C$38</definedName>
    <definedName name="MAST">Assoluti_Iva!$A$120:$C$130</definedName>
    <definedName name="MEDIA">Assoluti_Iva!$A$154:$C$164</definedName>
    <definedName name="MEM">Assoluti_Iva!$A$132:$C$134</definedName>
    <definedName name="MO">Assoluti_Iva!$A$9:$C$9</definedName>
    <definedName name="MODEM">Assoluti_Iva!$A$136:$C$152</definedName>
    <definedName name="MON">Assoluti_Iva!$A$5:$C$18</definedName>
    <definedName name="MONLCD">Assoluti_Iva!$A$20:$C$21</definedName>
    <definedName name="SOFT">Assoluti_Iva!$A$232:$C$281</definedName>
    <definedName name="sped">LOGICA!$E$2:$E$80</definedName>
    <definedName name="STAMP">Assoluti_Iva!$A$283:$C$316</definedName>
    <definedName name="TAST">Assoluti_Iva!$A$188:$C$194</definedName>
    <definedName name="VIDEO_B">Assoluti_Iva!$A$40:$C$64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40" i="15" l="1"/>
  <c r="F339" i="15"/>
  <c r="F338" i="15"/>
  <c r="F337" i="15"/>
  <c r="F336" i="15"/>
  <c r="F335" i="15"/>
  <c r="F334" i="15"/>
  <c r="F333" i="15"/>
  <c r="F332" i="15"/>
  <c r="F331" i="15"/>
  <c r="F330" i="15"/>
  <c r="F329" i="15"/>
  <c r="F328" i="15"/>
  <c r="F327" i="15"/>
  <c r="F326" i="15"/>
  <c r="F325" i="15"/>
  <c r="F324" i="15"/>
  <c r="F323" i="15"/>
  <c r="F322" i="15"/>
  <c r="F321" i="15"/>
  <c r="F320" i="15"/>
  <c r="F319" i="15"/>
  <c r="F318" i="15"/>
  <c r="F317" i="15"/>
  <c r="F316" i="15"/>
  <c r="F315" i="15"/>
  <c r="F314" i="15"/>
  <c r="F313" i="15"/>
  <c r="F312" i="15"/>
  <c r="F311" i="15"/>
  <c r="F310" i="15"/>
  <c r="F309" i="15"/>
  <c r="F308" i="15"/>
  <c r="F307" i="15"/>
  <c r="F306" i="15"/>
  <c r="F305" i="15"/>
  <c r="F304" i="15"/>
  <c r="F303" i="15"/>
  <c r="F302" i="15"/>
  <c r="F301" i="15"/>
  <c r="F300" i="15"/>
  <c r="F299" i="15"/>
  <c r="F298" i="15"/>
  <c r="F297" i="15"/>
  <c r="F296" i="15"/>
  <c r="F295" i="15"/>
  <c r="F294" i="15"/>
  <c r="F293" i="15"/>
  <c r="F292" i="15"/>
  <c r="F291" i="15"/>
  <c r="F290" i="15"/>
  <c r="F289" i="15"/>
  <c r="F288" i="15"/>
  <c r="F287" i="15"/>
  <c r="F286" i="15"/>
  <c r="F285" i="15"/>
  <c r="F284" i="15"/>
  <c r="F283" i="15"/>
  <c r="F282" i="15"/>
  <c r="F281" i="15"/>
  <c r="F280" i="15"/>
  <c r="F279" i="15"/>
  <c r="F278" i="15"/>
  <c r="F277" i="15"/>
  <c r="F276" i="15"/>
  <c r="F275" i="15"/>
  <c r="F274" i="15"/>
  <c r="F273" i="15"/>
  <c r="F272" i="15"/>
  <c r="F271" i="15"/>
  <c r="F270" i="15"/>
  <c r="F269" i="15"/>
  <c r="F268" i="15"/>
  <c r="F267" i="15"/>
  <c r="F266" i="15"/>
  <c r="F265" i="15"/>
  <c r="F264" i="15"/>
  <c r="F263" i="15"/>
  <c r="F262" i="15"/>
  <c r="F261" i="15"/>
  <c r="F260" i="15"/>
  <c r="F259" i="15"/>
  <c r="F258" i="15"/>
  <c r="F257" i="15"/>
  <c r="F256" i="15"/>
  <c r="F255" i="15"/>
  <c r="F254" i="15"/>
  <c r="F253" i="15"/>
  <c r="F252" i="15"/>
  <c r="F251" i="15"/>
  <c r="F250" i="15"/>
  <c r="F249" i="15"/>
  <c r="F248" i="15"/>
  <c r="F247" i="15"/>
  <c r="F246" i="15"/>
  <c r="F245" i="15"/>
  <c r="F244" i="15"/>
  <c r="F243" i="15"/>
  <c r="F242" i="15"/>
  <c r="F241" i="15"/>
  <c r="F240" i="15"/>
  <c r="F239" i="15"/>
  <c r="F238" i="15"/>
  <c r="F237" i="15"/>
  <c r="F236" i="15"/>
  <c r="F235" i="15"/>
  <c r="F234" i="15"/>
  <c r="F233" i="15"/>
  <c r="F232" i="15"/>
  <c r="F231" i="15"/>
  <c r="F230" i="15"/>
  <c r="F229" i="15"/>
  <c r="F228" i="15"/>
  <c r="F227" i="15"/>
  <c r="F226" i="15"/>
  <c r="F225" i="15"/>
  <c r="F224" i="15"/>
  <c r="F223" i="15"/>
  <c r="F222" i="15"/>
  <c r="F221" i="15"/>
  <c r="F220" i="15"/>
  <c r="F219" i="15"/>
  <c r="F218" i="15"/>
  <c r="F217" i="15"/>
  <c r="F216" i="15"/>
  <c r="F215" i="15"/>
  <c r="F214" i="15"/>
  <c r="F213" i="15"/>
  <c r="F212" i="15"/>
  <c r="F211" i="15"/>
  <c r="F210" i="15"/>
  <c r="F209" i="15"/>
  <c r="F208" i="15"/>
  <c r="F207" i="15"/>
  <c r="F206" i="15"/>
  <c r="F205" i="15"/>
  <c r="F204" i="15"/>
  <c r="F203" i="15"/>
  <c r="F202" i="15"/>
  <c r="F201" i="15"/>
  <c r="F200" i="15"/>
  <c r="F199" i="15"/>
  <c r="F198" i="15"/>
  <c r="F197" i="15"/>
  <c r="F196" i="15"/>
  <c r="F195" i="15"/>
  <c r="F194" i="15"/>
  <c r="F193" i="15"/>
  <c r="F192" i="15"/>
  <c r="F191" i="15"/>
  <c r="F190" i="15"/>
  <c r="F189" i="15"/>
  <c r="F188" i="15"/>
  <c r="F187" i="15"/>
  <c r="F186" i="15"/>
  <c r="F185" i="15"/>
  <c r="F184" i="15"/>
  <c r="F183" i="15"/>
  <c r="F182" i="15"/>
  <c r="F181" i="15"/>
  <c r="F180" i="15"/>
  <c r="F179" i="15"/>
  <c r="F178" i="15"/>
  <c r="F177" i="15"/>
  <c r="F176" i="15"/>
  <c r="F175" i="15"/>
  <c r="F174" i="15"/>
  <c r="F173" i="15"/>
  <c r="F172" i="15"/>
  <c r="F171" i="15"/>
  <c r="F170" i="15"/>
  <c r="F169" i="15"/>
  <c r="F168" i="15"/>
  <c r="F167" i="15"/>
  <c r="F166" i="15"/>
  <c r="F165" i="15"/>
  <c r="F164" i="15"/>
  <c r="F163" i="15"/>
  <c r="F162" i="15"/>
  <c r="F161" i="15"/>
  <c r="F160" i="15"/>
  <c r="F159" i="15"/>
  <c r="F158" i="15"/>
  <c r="F157" i="15"/>
  <c r="F156" i="15"/>
  <c r="F155" i="15"/>
  <c r="F154" i="15"/>
  <c r="F153" i="15"/>
  <c r="F152" i="15"/>
  <c r="F151" i="15"/>
  <c r="F150" i="15"/>
  <c r="F149" i="15"/>
  <c r="F148" i="15"/>
  <c r="F147" i="15"/>
  <c r="F146" i="15"/>
  <c r="F145" i="15"/>
  <c r="F144" i="15"/>
  <c r="F143" i="15"/>
  <c r="F142" i="15"/>
  <c r="F141" i="15"/>
  <c r="F140" i="15"/>
  <c r="F139" i="15"/>
  <c r="F138" i="15"/>
  <c r="F137" i="15"/>
  <c r="F136" i="15"/>
  <c r="F135" i="15"/>
  <c r="F134" i="15"/>
  <c r="F133" i="15"/>
  <c r="F132" i="15"/>
  <c r="F131" i="15"/>
  <c r="F130" i="15"/>
  <c r="F129" i="15"/>
  <c r="F128" i="15"/>
  <c r="F127" i="15"/>
  <c r="F126" i="15"/>
  <c r="F125" i="15"/>
  <c r="F124" i="15"/>
  <c r="F123" i="15"/>
  <c r="F122" i="15"/>
  <c r="F121" i="15"/>
  <c r="F120" i="15"/>
  <c r="F119" i="15"/>
  <c r="F118" i="15"/>
  <c r="F117" i="15"/>
  <c r="F116" i="15"/>
  <c r="F115" i="15"/>
  <c r="F114" i="15"/>
  <c r="F113" i="15"/>
  <c r="F112" i="15"/>
  <c r="F111" i="15"/>
  <c r="F110" i="15"/>
  <c r="F109" i="15"/>
  <c r="F108" i="15"/>
  <c r="F107" i="15"/>
  <c r="F106" i="15"/>
  <c r="F105" i="15"/>
  <c r="F104" i="15"/>
  <c r="F103" i="15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E3" i="15"/>
  <c r="E2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E193" i="15"/>
  <c r="E194" i="15"/>
  <c r="E195" i="15"/>
  <c r="E196" i="15"/>
  <c r="E197" i="15"/>
  <c r="E198" i="15"/>
  <c r="E199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4" i="15"/>
  <c r="E215" i="15"/>
  <c r="E216" i="15"/>
  <c r="E217" i="15"/>
  <c r="E218" i="15"/>
  <c r="E219" i="15"/>
  <c r="E220" i="15"/>
  <c r="E221" i="15"/>
  <c r="E222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44" i="15"/>
  <c r="E245" i="15"/>
  <c r="E246" i="15"/>
  <c r="E247" i="15"/>
  <c r="E248" i="15"/>
  <c r="E249" i="15"/>
  <c r="E250" i="15"/>
  <c r="E251" i="15"/>
  <c r="E252" i="15"/>
  <c r="E253" i="15"/>
  <c r="E254" i="15"/>
  <c r="E255" i="15"/>
  <c r="E256" i="15"/>
  <c r="E257" i="15"/>
  <c r="E258" i="15"/>
  <c r="E259" i="15"/>
  <c r="E260" i="15"/>
  <c r="E261" i="15"/>
  <c r="E262" i="15"/>
  <c r="E263" i="15"/>
  <c r="E264" i="15"/>
  <c r="E265" i="15"/>
  <c r="E266" i="15"/>
  <c r="E267" i="15"/>
  <c r="E268" i="15"/>
  <c r="E269" i="15"/>
  <c r="E270" i="15"/>
  <c r="E271" i="15"/>
  <c r="E272" i="15"/>
  <c r="E273" i="15"/>
  <c r="E274" i="15"/>
  <c r="E275" i="15"/>
  <c r="E276" i="15"/>
  <c r="E277" i="15"/>
  <c r="E278" i="15"/>
  <c r="E279" i="15"/>
  <c r="E280" i="15"/>
  <c r="E281" i="15"/>
  <c r="E282" i="15"/>
  <c r="E283" i="15"/>
  <c r="E284" i="15"/>
  <c r="E285" i="15"/>
  <c r="E286" i="15"/>
  <c r="E287" i="15"/>
  <c r="E288" i="15"/>
  <c r="E289" i="15"/>
  <c r="E290" i="15"/>
  <c r="E291" i="15"/>
  <c r="E292" i="15"/>
  <c r="E293" i="15"/>
  <c r="E294" i="15"/>
  <c r="E295" i="15"/>
  <c r="E296" i="15"/>
  <c r="E297" i="15"/>
  <c r="E298" i="15"/>
  <c r="E299" i="15"/>
  <c r="E300" i="15"/>
  <c r="E301" i="15"/>
  <c r="E302" i="15"/>
  <c r="E303" i="15"/>
  <c r="E304" i="15"/>
  <c r="E305" i="15"/>
  <c r="E306" i="15"/>
  <c r="E307" i="15"/>
  <c r="E308" i="15"/>
  <c r="E309" i="15"/>
  <c r="E310" i="15"/>
  <c r="E311" i="15"/>
  <c r="E312" i="15"/>
  <c r="E313" i="15"/>
  <c r="E314" i="15"/>
  <c r="E315" i="15"/>
  <c r="E316" i="15"/>
  <c r="E317" i="15"/>
  <c r="E318" i="15"/>
  <c r="E319" i="15"/>
  <c r="E320" i="15"/>
  <c r="E321" i="15"/>
  <c r="E322" i="15"/>
  <c r="E323" i="15"/>
  <c r="E324" i="15"/>
  <c r="E325" i="15"/>
  <c r="E326" i="15"/>
  <c r="E327" i="15"/>
  <c r="E328" i="15"/>
  <c r="E329" i="15"/>
  <c r="E330" i="15"/>
  <c r="E331" i="15"/>
  <c r="E332" i="15"/>
  <c r="E333" i="15"/>
  <c r="E334" i="15"/>
  <c r="E335" i="15"/>
  <c r="E336" i="15"/>
  <c r="E337" i="15"/>
  <c r="E338" i="15"/>
  <c r="E339" i="15"/>
  <c r="E340" i="15"/>
  <c r="E7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D165" i="15"/>
  <c r="D166" i="15"/>
  <c r="D167" i="15"/>
  <c r="D168" i="15"/>
  <c r="D169" i="15"/>
  <c r="D170" i="15"/>
  <c r="D171" i="15"/>
  <c r="D172" i="15"/>
  <c r="D173" i="15"/>
  <c r="D174" i="15"/>
  <c r="D175" i="15"/>
  <c r="D176" i="15"/>
  <c r="D177" i="15"/>
  <c r="D178" i="15"/>
  <c r="D179" i="15"/>
  <c r="D180" i="15"/>
  <c r="D181" i="15"/>
  <c r="D182" i="15"/>
  <c r="D183" i="15"/>
  <c r="D184" i="15"/>
  <c r="D185" i="15"/>
  <c r="D186" i="15"/>
  <c r="D187" i="15"/>
  <c r="D188" i="15"/>
  <c r="D189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203" i="15"/>
  <c r="D204" i="15"/>
  <c r="D205" i="15"/>
  <c r="D206" i="15"/>
  <c r="D207" i="15"/>
  <c r="D208" i="15"/>
  <c r="D209" i="15"/>
  <c r="D210" i="15"/>
  <c r="D211" i="15"/>
  <c r="D212" i="15"/>
  <c r="D213" i="15"/>
  <c r="D214" i="15"/>
  <c r="D215" i="15"/>
  <c r="D216" i="15"/>
  <c r="D217" i="15"/>
  <c r="D218" i="15"/>
  <c r="D219" i="15"/>
  <c r="D220" i="15"/>
  <c r="D221" i="15"/>
  <c r="D222" i="15"/>
  <c r="D223" i="15"/>
  <c r="D224" i="15"/>
  <c r="D225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D244" i="15"/>
  <c r="D245" i="15"/>
  <c r="D246" i="15"/>
  <c r="D247" i="15"/>
  <c r="D248" i="15"/>
  <c r="D249" i="15"/>
  <c r="D250" i="15"/>
  <c r="D251" i="15"/>
  <c r="D252" i="15"/>
  <c r="D253" i="15"/>
  <c r="D254" i="15"/>
  <c r="D255" i="15"/>
  <c r="D256" i="15"/>
  <c r="D257" i="15"/>
  <c r="D258" i="15"/>
  <c r="D259" i="15"/>
  <c r="D260" i="15"/>
  <c r="D261" i="15"/>
  <c r="D262" i="15"/>
  <c r="D263" i="15"/>
  <c r="D264" i="15"/>
  <c r="D265" i="15"/>
  <c r="D266" i="15"/>
  <c r="D267" i="15"/>
  <c r="D268" i="15"/>
  <c r="D269" i="15"/>
  <c r="D270" i="15"/>
  <c r="D271" i="15"/>
  <c r="D272" i="15"/>
  <c r="D273" i="15"/>
  <c r="D274" i="15"/>
  <c r="D275" i="15"/>
  <c r="D276" i="15"/>
  <c r="D277" i="15"/>
  <c r="D278" i="15"/>
  <c r="D279" i="15"/>
  <c r="D280" i="15"/>
  <c r="D281" i="15"/>
  <c r="D282" i="15"/>
  <c r="D283" i="15"/>
  <c r="D284" i="15"/>
  <c r="D285" i="15"/>
  <c r="D286" i="15"/>
  <c r="D287" i="15"/>
  <c r="D288" i="15"/>
  <c r="D289" i="15"/>
  <c r="D290" i="15"/>
  <c r="D291" i="15"/>
  <c r="D292" i="15"/>
  <c r="D293" i="15"/>
  <c r="D294" i="15"/>
  <c r="D295" i="15"/>
  <c r="D296" i="15"/>
  <c r="D297" i="15"/>
  <c r="D298" i="15"/>
  <c r="D299" i="15"/>
  <c r="D300" i="15"/>
  <c r="D301" i="15"/>
  <c r="D302" i="15"/>
  <c r="D303" i="15"/>
  <c r="D304" i="15"/>
  <c r="D305" i="15"/>
  <c r="D306" i="15"/>
  <c r="D307" i="15"/>
  <c r="D308" i="15"/>
  <c r="D309" i="15"/>
  <c r="D310" i="15"/>
  <c r="D311" i="15"/>
  <c r="D312" i="15"/>
  <c r="D313" i="15"/>
  <c r="D314" i="15"/>
  <c r="D315" i="15"/>
  <c r="D316" i="15"/>
  <c r="D317" i="15"/>
  <c r="D318" i="15"/>
  <c r="D319" i="15"/>
  <c r="D320" i="15"/>
  <c r="D321" i="15"/>
  <c r="D322" i="15"/>
  <c r="D323" i="15"/>
  <c r="D324" i="15"/>
  <c r="D325" i="15"/>
  <c r="D326" i="15"/>
  <c r="D327" i="15"/>
  <c r="D328" i="15"/>
  <c r="D329" i="15"/>
  <c r="D330" i="15"/>
  <c r="D331" i="15"/>
  <c r="D332" i="15"/>
  <c r="D333" i="15"/>
  <c r="D334" i="15"/>
  <c r="D335" i="15"/>
  <c r="D336" i="15"/>
  <c r="D337" i="15"/>
  <c r="D338" i="15"/>
  <c r="D339" i="15"/>
  <c r="D340" i="15"/>
  <c r="D5" i="15"/>
  <c r="D9" i="32"/>
  <c r="D5" i="32"/>
  <c r="D7" i="32"/>
  <c r="D11" i="32"/>
  <c r="E2" i="32"/>
  <c r="D2" i="32"/>
  <c r="H9" i="8"/>
  <c r="H10" i="8"/>
  <c r="H11" i="8"/>
  <c r="H12" i="8"/>
  <c r="H13" i="8"/>
  <c r="H14" i="8"/>
  <c r="H8" i="8"/>
  <c r="H4" i="8"/>
  <c r="H5" i="8"/>
  <c r="H6" i="8"/>
  <c r="H3" i="8"/>
</calcChain>
</file>

<file path=xl/sharedStrings.xml><?xml version="1.0" encoding="utf-8"?>
<sst xmlns="http://schemas.openxmlformats.org/spreadsheetml/2006/main" count="972" uniqueCount="205">
  <si>
    <t>Data</t>
  </si>
  <si>
    <t>Cliente</t>
  </si>
  <si>
    <t>Categoria</t>
  </si>
  <si>
    <t>Importo fattura</t>
  </si>
  <si>
    <t>Spese di spedizione</t>
  </si>
  <si>
    <t>After the Stork</t>
  </si>
  <si>
    <t>Abbigliamento</t>
  </si>
  <si>
    <t>Agora Publishing</t>
  </si>
  <si>
    <t>Manuali</t>
  </si>
  <si>
    <t>Airport City Taxi</t>
  </si>
  <si>
    <t>Viaggio d'affari: trasporto</t>
  </si>
  <si>
    <t>Alaska Airlines</t>
  </si>
  <si>
    <t>Viaggio d'affari</t>
  </si>
  <si>
    <t>Allstate</t>
  </si>
  <si>
    <t>Assicurazione</t>
  </si>
  <si>
    <t>America Online</t>
  </si>
  <si>
    <t>Posta elettronica</t>
  </si>
  <si>
    <t>American Airlines</t>
  </si>
  <si>
    <t>Annual fee</t>
  </si>
  <si>
    <t>Operazioni bancarie</t>
  </si>
  <si>
    <t>Avis</t>
  </si>
  <si>
    <t>Bagels</t>
  </si>
  <si>
    <t>Ristorante</t>
  </si>
  <si>
    <t>Baker's Pharmacy</t>
  </si>
  <si>
    <t>Salute</t>
  </si>
  <si>
    <t>Barber Shop</t>
  </si>
  <si>
    <t>Personale</t>
  </si>
  <si>
    <t>Best Products</t>
  </si>
  <si>
    <t>Attrezzatura</t>
  </si>
  <si>
    <t>Biergarten</t>
  </si>
  <si>
    <t>Viaggio d'affari: pasti</t>
  </si>
  <si>
    <t>Biobottoms</t>
  </si>
  <si>
    <t>Bridgewater Restaurant, Florence</t>
  </si>
  <si>
    <t>Brights Creek</t>
  </si>
  <si>
    <t>Canon USA</t>
  </si>
  <si>
    <t>Ufficio</t>
  </si>
  <si>
    <t>Cap n Jacks</t>
  </si>
  <si>
    <t>Cato Institute</t>
  </si>
  <si>
    <t>Svago</t>
  </si>
  <si>
    <t>Chambers</t>
  </si>
  <si>
    <t>Regali</t>
  </si>
  <si>
    <t>Chateau St. Mark</t>
  </si>
  <si>
    <t>Childcraft Catalog</t>
  </si>
  <si>
    <t>Giocattoli e libri</t>
  </si>
  <si>
    <t>Chinaberry Book</t>
  </si>
  <si>
    <t>Classic Cab Company</t>
  </si>
  <si>
    <t>Concession Air, Portland Airport</t>
  </si>
  <si>
    <t>DAK Industries</t>
  </si>
  <si>
    <t>Mobili</t>
  </si>
  <si>
    <t>Dallas Airport</t>
  </si>
  <si>
    <t>David Kay</t>
  </si>
  <si>
    <t>Abitazione</t>
  </si>
  <si>
    <t>DeFrisco's</t>
  </si>
  <si>
    <t>DeLorme Publishing</t>
  </si>
  <si>
    <t>Software ufficio</t>
  </si>
  <si>
    <t>Deluxe Business Forms</t>
  </si>
  <si>
    <t>Dolphin Hotel</t>
  </si>
  <si>
    <t>Elco Computers</t>
  </si>
  <si>
    <t>Hardware</t>
  </si>
  <si>
    <t>Epcot Center</t>
  </si>
  <si>
    <t>Evergreen Photo</t>
  </si>
  <si>
    <t>Ferguson and Bardell</t>
  </si>
  <si>
    <t>Fletcher's for Children</t>
  </si>
  <si>
    <t>Flower Market</t>
  </si>
  <si>
    <t>Alimentari</t>
  </si>
  <si>
    <t>Food Value</t>
  </si>
  <si>
    <t>Friendship House</t>
  </si>
  <si>
    <t>Furrow Building Materials</t>
  </si>
  <si>
    <t>Educazione dei figli</t>
  </si>
  <si>
    <t>Gardeners Eden</t>
  </si>
  <si>
    <t>Gateway 2000</t>
  </si>
  <si>
    <t>GG&amp;G</t>
  </si>
  <si>
    <t>Benzina</t>
  </si>
  <si>
    <t>Great Harvest Bakery</t>
  </si>
  <si>
    <t>H &amp; B Recordings</t>
  </si>
  <si>
    <t>H&amp;B</t>
  </si>
  <si>
    <t>GIUSTINO</t>
  </si>
  <si>
    <t>VILLA RENDENA</t>
  </si>
  <si>
    <t>PINZOLO</t>
  </si>
  <si>
    <t>VIGO RENDENA</t>
  </si>
  <si>
    <t>SPIAZZO</t>
  </si>
  <si>
    <t>PELUGO</t>
  </si>
  <si>
    <t>STREMBO</t>
  </si>
  <si>
    <t>CADERZONE</t>
  </si>
  <si>
    <t>BLEGGIO SUPERIORE</t>
  </si>
  <si>
    <t>CONDINO</t>
  </si>
  <si>
    <t>TIONE</t>
  </si>
  <si>
    <t>BREGUZZO</t>
  </si>
  <si>
    <t>PRADIBONDO</t>
  </si>
  <si>
    <t>RONCONE</t>
  </si>
  <si>
    <t>PONTE ARCHE</t>
  </si>
  <si>
    <t>ALDENO</t>
  </si>
  <si>
    <t>POMAROLO</t>
  </si>
  <si>
    <t>PADERGNONE</t>
  </si>
  <si>
    <t>VIGO CAVEDINE</t>
  </si>
  <si>
    <t>DRO</t>
  </si>
  <si>
    <t>VEZZANO</t>
  </si>
  <si>
    <t>CENIGA</t>
  </si>
  <si>
    <t>SARCHE</t>
  </si>
  <si>
    <t>BOLOGNANO</t>
  </si>
  <si>
    <t>S.MARTINO</t>
  </si>
  <si>
    <t>VIGNOLE</t>
  </si>
  <si>
    <t>VIGNE</t>
  </si>
  <si>
    <t>MASSONE</t>
  </si>
  <si>
    <t>LOCALITA' MOLETA</t>
  </si>
  <si>
    <t>VARONE</t>
  </si>
  <si>
    <t>TORBOLE</t>
  </si>
  <si>
    <t>S.TOMMASO</t>
  </si>
  <si>
    <t>PREGASINA</t>
  </si>
  <si>
    <t>ARCO</t>
  </si>
  <si>
    <t>RIVA DEL GARDA</t>
  </si>
  <si>
    <t>LIMONE</t>
  </si>
  <si>
    <t>ROVERETO</t>
  </si>
  <si>
    <t>S.ILARIO</t>
  </si>
  <si>
    <t>BRIONE</t>
  </si>
  <si>
    <t>SACCO</t>
  </si>
  <si>
    <t>S.GIORGIO</t>
  </si>
  <si>
    <t>RAVAZZONE</t>
  </si>
  <si>
    <t>RONZO</t>
  </si>
  <si>
    <t>BRENTONICO</t>
  </si>
  <si>
    <t>NOMESINO</t>
  </si>
  <si>
    <t>TIERNO</t>
  </si>
  <si>
    <t>MORI</t>
  </si>
  <si>
    <t>CHIZZOLA</t>
  </si>
  <si>
    <t>PILCANTE</t>
  </si>
  <si>
    <t>AVIO</t>
  </si>
  <si>
    <t>BORGHETTO</t>
  </si>
  <si>
    <t>MASI D'AVIO</t>
  </si>
  <si>
    <t>PERI</t>
  </si>
  <si>
    <t>SABBIONARA</t>
  </si>
  <si>
    <t>OSSENIGO</t>
  </si>
  <si>
    <t>MARCO</t>
  </si>
  <si>
    <t>SERRAVALLE</t>
  </si>
  <si>
    <t>LIZZANELLA</t>
  </si>
  <si>
    <t>LIZZANA</t>
  </si>
  <si>
    <t>CEMBRA</t>
  </si>
  <si>
    <t>VALDA</t>
  </si>
  <si>
    <t>VERLA</t>
  </si>
  <si>
    <t>VILLE DI GIOVO</t>
  </si>
  <si>
    <t>SEGONZANO</t>
  </si>
  <si>
    <t>CEOLA DI GIOVO</t>
  </si>
  <si>
    <t>LISIGNAGO</t>
  </si>
  <si>
    <t>PIAZZO</t>
  </si>
  <si>
    <t>CLES</t>
  </si>
  <si>
    <t>TUENNO</t>
  </si>
  <si>
    <t>REVO</t>
  </si>
  <si>
    <t>BEDOLLO</t>
  </si>
  <si>
    <t>VAROLLO</t>
  </si>
  <si>
    <t>DENNO</t>
  </si>
  <si>
    <t>RALLO</t>
  </si>
  <si>
    <t>DERMULO</t>
  </si>
  <si>
    <t>NAVE S.FELICE</t>
  </si>
  <si>
    <t>ZAMBANA</t>
  </si>
  <si>
    <t>PRESSANO</t>
  </si>
  <si>
    <t>NAVE S.ROCCO</t>
  </si>
  <si>
    <t>MEZZOLOMBARDO</t>
  </si>
  <si>
    <t>SAN MICHELE ALL'ADIGE</t>
  </si>
  <si>
    <t>MEZZOCORONA</t>
  </si>
  <si>
    <t>LAVIS</t>
  </si>
  <si>
    <t>RONCAFORT</t>
  </si>
  <si>
    <t>MEANO</t>
  </si>
  <si>
    <t>SPINI DI GARDOLO</t>
  </si>
  <si>
    <t>LAMAR</t>
  </si>
  <si>
    <t>VIGO MEANO</t>
  </si>
  <si>
    <t>GAZZADINA</t>
  </si>
  <si>
    <t>CADINE</t>
  </si>
  <si>
    <t>TERLAGO</t>
  </si>
  <si>
    <t>SOPRAMONTE</t>
  </si>
  <si>
    <t>BORGO VALSUGANA</t>
  </si>
  <si>
    <t>TEZZE</t>
  </si>
  <si>
    <t>CASTELNUOVO</t>
  </si>
  <si>
    <t>CALCERANICA</t>
  </si>
  <si>
    <t>CALDONAZZO</t>
  </si>
  <si>
    <t>LEVICO TERME</t>
  </si>
  <si>
    <t>PERGINE</t>
  </si>
  <si>
    <t>COGNOLA</t>
  </si>
  <si>
    <t>POVO</t>
  </si>
  <si>
    <t>GARZANO</t>
  </si>
  <si>
    <t>S.DONA'</t>
  </si>
  <si>
    <t>OLTRECASTELLO</t>
  </si>
  <si>
    <t>MATTARELLO</t>
  </si>
  <si>
    <t>RAVINA</t>
  </si>
  <si>
    <t>ROMAGNANO</t>
  </si>
  <si>
    <t>TRENTO</t>
  </si>
  <si>
    <t>TABELLA BELLA</t>
  </si>
  <si>
    <t>COMUNE</t>
  </si>
  <si>
    <t>N ABITANTI</t>
  </si>
  <si>
    <t>IMPONIBILE</t>
  </si>
  <si>
    <t>CLIENTE</t>
  </si>
  <si>
    <t>Gateway 2001</t>
  </si>
  <si>
    <t>Gateway 2002</t>
  </si>
  <si>
    <t>Gateway 2003</t>
  </si>
  <si>
    <t>CATEGORIA</t>
  </si>
  <si>
    <t>HHB</t>
  </si>
  <si>
    <t xml:space="preserve">- AGGIUNGERE UNA COLONNA PER SCRIVERE TROVATO ALLE RIGHE CON CATEGORIA=ABBIGLIAMENTO E IMPONIBILE &gt; 300.000
- AGGIUNGERE UNA COLONNA PER CALCOLARE L'IVA SOLO DEGLI IMPONIBILE DEL CLIENTE HHB
- FROMATTARE LE CELLE CON CATEGORIA = UFFICIO CON SFONDO ROSSO
- CALCOLARE MEDIA, SOMMA, di IMPONIBILE DOPO AVER DATO UN NOME ALLA COLONNA IMPONIBILE
- AGGIUNGERE UNA COLONNA DOVE SCRIVERE VERO SOLO PER LE RIGHE CON CATEGORIA MANUALI E IMPONIBILE &lt; DI 1.000.000
</t>
  </si>
  <si>
    <t>Calcolare con SOMMA.SE Importo fattura  per..</t>
  </si>
  <si>
    <t>QUANTI COMUNI HANNO PIU' DI 100 ABITANTI?</t>
  </si>
  <si>
    <t>QUANTI COMUNI INZIIANO CON LA LETTERA C?</t>
  </si>
  <si>
    <t>QUANTI ABITANTI CI SONO IN TOTALE?</t>
  </si>
  <si>
    <t>QUANTI COMUNI HANNO UNA POPOLAZIONE COMPRESA TRA I 10 E I 100 ABITANTI?</t>
  </si>
  <si>
    <t>Quanti abitanti ha OSSENIGO?</t>
  </si>
  <si>
    <t>Quanti abitanti ha AVIO?</t>
  </si>
  <si>
    <t>IVA</t>
  </si>
  <si>
    <t>media</t>
  </si>
  <si>
    <t>somma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</si>
</sst>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€&quot;_-;\-* #,##0.00\ &quot;€&quot;_-;_-* &quot;-&quot;??\ &quot;€&quot;_-;_-@_-"/>
    <numFmt numFmtId="164" formatCode="_-&quot;€&quot;\ * #,##0.00_-;\-&quot;€&quot;\ * #,##0.00_-;_-&quot;€&quot;\ * &quot;-&quot;??_-;_-@_-"/>
    <numFmt numFmtId="165" formatCode="&quot;$&quot;#,##0_);[Red]\(&quot;$&quot;#,##0\)"/>
    <numFmt numFmtId="166" formatCode="&quot;$&quot;#,##0.00_);[Red]\(&quot;$&quot;#,##0.00\)"/>
    <numFmt numFmtId="167" formatCode="_-[$€-410]\ * #,##0.00_-;\-[$€-410]\ * #,##0.00_-;_-[$€-410]\ * &quot;-&quot;??_-;_-@_-"/>
    <numFmt numFmtId="168" formatCode="&quot;€&quot;\ #,##0.00"/>
    <numFmt numFmtId="169" formatCode="_(* #,##0.00_);_(* \(#,##0.00\);_(* &quot;-&quot;??_);_(@_)"/>
    <numFmt numFmtId="170" formatCode="_-[$€]\ * #,##0.00_-;\-[$€]\ * #,##0.00_-;_-[$€]\ * &quot;-&quot;??_-;_-@_-"/>
  </numFmts>
  <fonts count="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3"/>
      <color theme="3"/>
      <name val="Calibri"/>
      <family val="2"/>
      <scheme val="minor"/>
    </font>
    <font>
      <b/>
      <sz val="12"/>
      <color rgb="FFFF0000"/>
      <name val="Arial"/>
      <family val="2"/>
    </font>
    <font>
      <b/>
      <sz val="10"/>
      <name val="Arial"/>
      <family val="2"/>
    </font>
    <font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1">
    <xf numFmtId="0" fontId="0" fillId="0" borderId="0"/>
    <xf numFmtId="38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4" fillId="0" borderId="1" applyNumberFormat="0" applyFill="0" applyAlignment="0" applyProtection="0"/>
    <xf numFmtId="0" fontId="2" fillId="0" borderId="0"/>
    <xf numFmtId="164" fontId="2" fillId="0" borderId="0" applyFont="0" applyFill="0" applyBorder="0" applyAlignment="0" applyProtection="0"/>
    <xf numFmtId="0" fontId="1" fillId="0" borderId="0"/>
    <xf numFmtId="169" fontId="2" fillId="0" borderId="0" applyFont="0" applyFill="0" applyBorder="0" applyAlignment="0" applyProtection="0"/>
    <xf numFmtId="170" fontId="2" fillId="0" borderId="0" applyFont="0" applyFill="0" applyBorder="0" applyAlignment="0" applyProtection="0"/>
  </cellStyleXfs>
  <cellXfs count="32">
    <xf numFmtId="0" fontId="0" fillId="0" borderId="0" xfId="0"/>
    <xf numFmtId="0" fontId="3" fillId="0" borderId="0" xfId="0" applyFont="1"/>
    <xf numFmtId="14" fontId="0" fillId="0" borderId="0" xfId="0" applyNumberFormat="1"/>
    <xf numFmtId="167" fontId="0" fillId="0" borderId="0" xfId="0" applyNumberFormat="1"/>
    <xf numFmtId="167" fontId="2" fillId="0" borderId="0" xfId="4" applyNumberFormat="1"/>
    <xf numFmtId="0" fontId="4" fillId="0" borderId="1" xfId="5"/>
    <xf numFmtId="167" fontId="4" fillId="0" borderId="1" xfId="5" applyNumberFormat="1"/>
    <xf numFmtId="0" fontId="2" fillId="0" borderId="0" xfId="6"/>
    <xf numFmtId="0" fontId="5" fillId="2" borderId="0" xfId="0" applyFont="1" applyFill="1"/>
    <xf numFmtId="170" fontId="2" fillId="0" borderId="0" xfId="10"/>
    <xf numFmtId="170" fontId="2" fillId="0" borderId="0" xfId="10" applyFill="1"/>
    <xf numFmtId="0" fontId="2" fillId="0" borderId="4" xfId="0" applyFont="1" applyBorder="1"/>
    <xf numFmtId="0" fontId="2" fillId="2" borderId="2" xfId="0" applyFont="1" applyFill="1" applyBorder="1"/>
    <xf numFmtId="0" fontId="6" fillId="0" borderId="0" xfId="6" applyFont="1"/>
    <xf numFmtId="170" fontId="6" fillId="0" borderId="0" xfId="10" applyFont="1" applyFill="1"/>
    <xf numFmtId="167" fontId="3" fillId="0" borderId="5" xfId="4" applyNumberFormat="1" applyFont="1" applyBorder="1"/>
    <xf numFmtId="167" fontId="3" fillId="0" borderId="6" xfId="4" applyNumberFormat="1" applyFont="1" applyBorder="1"/>
    <xf numFmtId="167" fontId="3" fillId="0" borderId="7" xfId="4" applyNumberFormat="1" applyFont="1" applyBorder="1"/>
    <xf numFmtId="0" fontId="6" fillId="0" borderId="3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168" fontId="0" fillId="2" borderId="8" xfId="0" applyNumberFormat="1" applyFill="1" applyBorder="1"/>
    <xf numFmtId="0" fontId="0" fillId="0" borderId="4" xfId="0" applyBorder="1"/>
    <xf numFmtId="0" fontId="0" fillId="0" borderId="3" xfId="0" applyBorder="1"/>
    <xf numFmtId="168" fontId="0" fillId="0" borderId="0" xfId="0" applyNumberFormat="1"/>
    <xf numFmtId="0" fontId="2" fillId="0" borderId="3" xfId="0" applyFont="1" applyBorder="1"/>
    <xf numFmtId="1" fontId="0" fillId="0" borderId="0" xfId="0" applyNumberFormat="1"/>
    <xf numFmtId="44" fontId="2" fillId="0" borderId="0" xfId="6" applyNumberFormat="1"/>
    <xf numFmtId="0" fontId="2" fillId="2" borderId="0" xfId="6" quotePrefix="1" applyFill="1" applyAlignment="1">
      <alignment horizontal="left" vertical="top" wrapText="1"/>
    </xf>
    <xf numFmtId="0" fontId="2" fillId="2" borderId="0" xfId="6" applyFill="1" applyAlignment="1">
      <alignment horizontal="left" vertical="top"/>
    </xf>
    <xf numFmtId="0" fontId="6" fillId="3" borderId="0" xfId="6" applyFont="1" applyFill="1" applyAlignment="1">
      <alignment horizontal="center"/>
    </xf>
  </cellXfs>
  <cellStyles count="11">
    <cellStyle name="Comma [0]" xfId="1" xr:uid="{00000000-0005-0000-0000-000000000000}"/>
    <cellStyle name="Currency [0]" xfId="2" xr:uid="{00000000-0005-0000-0000-000001000000}"/>
    <cellStyle name="Euro" xfId="3" xr:uid="{00000000-0005-0000-0000-000002000000}"/>
    <cellStyle name="Euro 2" xfId="10" xr:uid="{AABE2ED2-6E30-451E-AC5F-CB9F262C13E8}"/>
    <cellStyle name="Migliaia 2" xfId="9" xr:uid="{D537F2D8-156A-42A0-B293-31B6E89567B2}"/>
    <cellStyle name="Normale" xfId="0" builtinId="0"/>
    <cellStyle name="Normale 2" xfId="6" xr:uid="{3D179E92-2E47-43E0-9810-C609F7774ECE}"/>
    <cellStyle name="Normale 3" xfId="8" xr:uid="{AF7621DB-C5E8-4E70-88F1-034C3F00C02E}"/>
    <cellStyle name="Titolo 2" xfId="5" builtinId="17"/>
    <cellStyle name="Valuta 2" xfId="7" xr:uid="{207091F5-721C-455F-B370-D6B4AD03B231}"/>
    <cellStyle name="Valuta_gestione clienti(out)-1" xfId="4" xr:uid="{00000000-0005-0000-0000-000006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CFBE5-9F9D-4F9A-8F99-5524B5637A72}">
  <dimension ref="A1:F340"/>
  <sheetViews>
    <sheetView tabSelected="1" zoomScaleNormal="100" workbookViewId="0">
      <pane ySplit="4" topLeftCell="A5" activePane="bottomLeft" state="frozen"/>
      <selection pane="bottomLeft" activeCell="B4" sqref="B4:C4"/>
    </sheetView>
  </sheetViews>
  <sheetFormatPr baseColWidth="10" defaultColWidth="8.83203125" defaultRowHeight="13" x14ac:dyDescent="0.15"/>
  <cols>
    <col min="1" max="1" width="41.1640625" style="7" bestFit="1" customWidth="1"/>
    <col min="2" max="2" width="54.5" style="7" bestFit="1" customWidth="1"/>
    <col min="3" max="3" width="23.5" style="9" customWidth="1"/>
    <col min="4" max="4" width="23.5" style="7" customWidth="1"/>
    <col min="5" max="5" width="16.6640625" style="28" customWidth="1"/>
    <col min="6" max="6" width="12" style="7" customWidth="1"/>
    <col min="7" max="16384" width="8.83203125" style="7"/>
  </cols>
  <sheetData>
    <row r="1" spans="1:6" ht="102.5" customHeight="1" x14ac:dyDescent="0.15">
      <c r="A1" s="29" t="s">
        <v>194</v>
      </c>
      <c r="B1" s="30"/>
      <c r="C1" s="30"/>
    </row>
    <row r="2" spans="1:6" x14ac:dyDescent="0.15">
      <c r="D2" s="7" t="s">
        <v>203</v>
      </c>
      <c r="E2" s="28">
        <f>AVERAGE(C:C)</f>
        <v>519442.42424242425</v>
      </c>
    </row>
    <row r="3" spans="1:6" x14ac:dyDescent="0.15">
      <c r="A3" s="31" t="s">
        <v>184</v>
      </c>
      <c r="B3" s="31"/>
      <c r="C3" s="31"/>
      <c r="D3" s="7" t="s">
        <v>204</v>
      </c>
      <c r="E3" s="28">
        <f>SUM(C:C)</f>
        <v>171416000</v>
      </c>
    </row>
    <row r="4" spans="1:6" x14ac:dyDescent="0.15">
      <c r="A4" s="13" t="s">
        <v>188</v>
      </c>
      <c r="B4" s="13" t="s">
        <v>192</v>
      </c>
      <c r="C4" s="14" t="s">
        <v>187</v>
      </c>
      <c r="E4" s="28" t="s">
        <v>202</v>
      </c>
    </row>
    <row r="5" spans="1:6" x14ac:dyDescent="0.15">
      <c r="A5" s="7" t="s">
        <v>61</v>
      </c>
      <c r="B5" t="s">
        <v>6</v>
      </c>
      <c r="C5" s="9">
        <v>281000</v>
      </c>
      <c r="D5" s="7" t="str">
        <f>IF(AND(B5="abbigliamento",C5&gt;300000),"trovato","")</f>
        <v/>
      </c>
    </row>
    <row r="6" spans="1:6" x14ac:dyDescent="0.15">
      <c r="A6" s="7" t="s">
        <v>41</v>
      </c>
      <c r="B6" t="s">
        <v>6</v>
      </c>
      <c r="C6" s="9">
        <v>323000</v>
      </c>
      <c r="D6" s="7" t="str">
        <f t="shared" ref="D6:D69" si="0">IF(AND(B6="abbigliamento",C6&gt;300000),"trovato","")</f>
        <v>trovato</v>
      </c>
    </row>
    <row r="7" spans="1:6" x14ac:dyDescent="0.15">
      <c r="A7" s="7" t="s">
        <v>193</v>
      </c>
      <c r="B7" t="s">
        <v>38</v>
      </c>
      <c r="C7" s="9">
        <v>344000</v>
      </c>
      <c r="D7" s="7" t="str">
        <f t="shared" si="0"/>
        <v/>
      </c>
      <c r="E7" s="28">
        <f>IF(A7="HHB",C7*(22/100),"")</f>
        <v>75680</v>
      </c>
    </row>
    <row r="8" spans="1:6" x14ac:dyDescent="0.15">
      <c r="A8" s="7" t="s">
        <v>62</v>
      </c>
      <c r="B8" t="s">
        <v>28</v>
      </c>
      <c r="C8" s="9">
        <v>361000</v>
      </c>
      <c r="D8" s="7" t="str">
        <f t="shared" si="0"/>
        <v/>
      </c>
      <c r="E8" s="28" t="str">
        <f t="shared" ref="E8:E71" si="1">IF(A8="HHB",C8*(22/100),"")</f>
        <v/>
      </c>
    </row>
    <row r="9" spans="1:6" x14ac:dyDescent="0.15">
      <c r="A9" s="7" t="s">
        <v>25</v>
      </c>
      <c r="B9" t="s">
        <v>26</v>
      </c>
      <c r="C9" s="9">
        <v>521000</v>
      </c>
      <c r="D9" s="7" t="str">
        <f t="shared" si="0"/>
        <v/>
      </c>
      <c r="E9" s="28" t="str">
        <f t="shared" si="1"/>
        <v/>
      </c>
    </row>
    <row r="10" spans="1:6" x14ac:dyDescent="0.15">
      <c r="A10" s="7" t="s">
        <v>13</v>
      </c>
      <c r="B10" t="s">
        <v>14</v>
      </c>
      <c r="C10" s="9">
        <v>527000</v>
      </c>
      <c r="D10" s="7" t="str">
        <f t="shared" si="0"/>
        <v/>
      </c>
      <c r="E10" s="28" t="str">
        <f t="shared" si="1"/>
        <v/>
      </c>
    </row>
    <row r="11" spans="1:6" x14ac:dyDescent="0.15">
      <c r="A11" s="7" t="s">
        <v>34</v>
      </c>
      <c r="B11" t="s">
        <v>35</v>
      </c>
      <c r="C11" s="9">
        <v>626000</v>
      </c>
      <c r="D11" s="7" t="str">
        <f t="shared" si="0"/>
        <v/>
      </c>
      <c r="E11" s="28" t="str">
        <f t="shared" si="1"/>
        <v/>
      </c>
    </row>
    <row r="12" spans="1:6" x14ac:dyDescent="0.15">
      <c r="A12" s="7" t="s">
        <v>193</v>
      </c>
      <c r="B12" t="s">
        <v>38</v>
      </c>
      <c r="C12" s="9">
        <v>656000</v>
      </c>
      <c r="D12" s="7" t="str">
        <f t="shared" si="0"/>
        <v/>
      </c>
      <c r="E12" s="28">
        <f t="shared" si="1"/>
        <v>144320</v>
      </c>
    </row>
    <row r="13" spans="1:6" x14ac:dyDescent="0.15">
      <c r="A13" s="7" t="s">
        <v>15</v>
      </c>
      <c r="B13" t="s">
        <v>16</v>
      </c>
      <c r="C13" s="9">
        <v>666000</v>
      </c>
      <c r="D13" s="7" t="str">
        <f t="shared" si="0"/>
        <v/>
      </c>
      <c r="E13" s="28" t="str">
        <f t="shared" si="1"/>
        <v/>
      </c>
    </row>
    <row r="14" spans="1:6" x14ac:dyDescent="0.15">
      <c r="A14" s="7" t="s">
        <v>55</v>
      </c>
      <c r="B14" t="s">
        <v>35</v>
      </c>
      <c r="C14" s="9">
        <v>882000</v>
      </c>
      <c r="D14" s="7" t="str">
        <f t="shared" si="0"/>
        <v/>
      </c>
      <c r="E14" s="28" t="str">
        <f t="shared" si="1"/>
        <v/>
      </c>
    </row>
    <row r="15" spans="1:6" x14ac:dyDescent="0.15">
      <c r="A15" s="7" t="s">
        <v>7</v>
      </c>
      <c r="B15" t="s">
        <v>8</v>
      </c>
      <c r="C15" s="9">
        <v>1108000</v>
      </c>
      <c r="D15" s="7" t="str">
        <f t="shared" si="0"/>
        <v/>
      </c>
      <c r="E15" s="28" t="str">
        <f t="shared" si="1"/>
        <v/>
      </c>
      <c r="F15" s="7" t="str">
        <f>IF(AND(B15="manuali",C15&lt;1000000),"VERO","")</f>
        <v/>
      </c>
    </row>
    <row r="16" spans="1:6" x14ac:dyDescent="0.15">
      <c r="A16" s="7" t="s">
        <v>62</v>
      </c>
      <c r="B16" t="s">
        <v>48</v>
      </c>
      <c r="C16" s="9">
        <v>1316000</v>
      </c>
      <c r="D16" s="7" t="str">
        <f t="shared" si="0"/>
        <v/>
      </c>
      <c r="E16" s="28" t="str">
        <f t="shared" si="1"/>
        <v/>
      </c>
      <c r="F16" s="7" t="str">
        <f t="shared" ref="F16:F79" si="2">IF(AND(B16="manuali",C16&lt;1000000),"VERO","")</f>
        <v/>
      </c>
    </row>
    <row r="17" spans="1:6" x14ac:dyDescent="0.15">
      <c r="A17" s="7" t="s">
        <v>67</v>
      </c>
      <c r="B17" t="s">
        <v>68</v>
      </c>
      <c r="C17" s="9">
        <v>1594000</v>
      </c>
      <c r="D17" s="7" t="str">
        <f t="shared" si="0"/>
        <v/>
      </c>
      <c r="E17" s="28" t="str">
        <f t="shared" si="1"/>
        <v/>
      </c>
      <c r="F17" s="7" t="str">
        <f t="shared" si="2"/>
        <v/>
      </c>
    </row>
    <row r="18" spans="1:6" x14ac:dyDescent="0.15">
      <c r="A18" s="7" t="s">
        <v>44</v>
      </c>
      <c r="B18" t="s">
        <v>38</v>
      </c>
      <c r="C18" s="9">
        <v>2719000</v>
      </c>
      <c r="D18" s="7" t="str">
        <f t="shared" si="0"/>
        <v/>
      </c>
      <c r="E18" s="28" t="str">
        <f t="shared" si="1"/>
        <v/>
      </c>
      <c r="F18" s="7" t="str">
        <f t="shared" si="2"/>
        <v/>
      </c>
    </row>
    <row r="19" spans="1:6" x14ac:dyDescent="0.15">
      <c r="A19" s="7" t="s">
        <v>11</v>
      </c>
      <c r="B19" t="s">
        <v>12</v>
      </c>
      <c r="C19" s="10">
        <v>0</v>
      </c>
      <c r="D19" s="7" t="str">
        <f t="shared" si="0"/>
        <v/>
      </c>
      <c r="E19" s="28" t="str">
        <f t="shared" si="1"/>
        <v/>
      </c>
      <c r="F19" s="7" t="str">
        <f t="shared" si="2"/>
        <v/>
      </c>
    </row>
    <row r="20" spans="1:6" x14ac:dyDescent="0.15">
      <c r="A20" s="7" t="s">
        <v>17</v>
      </c>
      <c r="B20" t="s">
        <v>12</v>
      </c>
      <c r="C20" s="9">
        <v>4092000</v>
      </c>
      <c r="D20" s="7" t="str">
        <f t="shared" si="0"/>
        <v/>
      </c>
      <c r="E20" s="28" t="str">
        <f t="shared" si="1"/>
        <v/>
      </c>
      <c r="F20" s="7" t="str">
        <f t="shared" si="2"/>
        <v/>
      </c>
    </row>
    <row r="21" spans="1:6" x14ac:dyDescent="0.15">
      <c r="A21" s="7" t="s">
        <v>52</v>
      </c>
      <c r="B21" t="s">
        <v>22</v>
      </c>
      <c r="C21" s="9">
        <v>13859000</v>
      </c>
      <c r="D21" s="7" t="str">
        <f t="shared" si="0"/>
        <v/>
      </c>
      <c r="E21" s="28" t="str">
        <f t="shared" si="1"/>
        <v/>
      </c>
      <c r="F21" s="7" t="str">
        <f t="shared" si="2"/>
        <v/>
      </c>
    </row>
    <row r="22" spans="1:6" x14ac:dyDescent="0.15">
      <c r="A22" s="7" t="s">
        <v>31</v>
      </c>
      <c r="B22" t="s">
        <v>6</v>
      </c>
      <c r="C22" s="10">
        <v>0</v>
      </c>
      <c r="D22" s="7" t="str">
        <f t="shared" si="0"/>
        <v/>
      </c>
      <c r="E22" s="28" t="str">
        <f t="shared" si="1"/>
        <v/>
      </c>
      <c r="F22" s="7" t="str">
        <f t="shared" si="2"/>
        <v/>
      </c>
    </row>
    <row r="23" spans="1:6" x14ac:dyDescent="0.15">
      <c r="A23" s="7" t="s">
        <v>25</v>
      </c>
      <c r="B23" t="s">
        <v>26</v>
      </c>
      <c r="C23" s="9">
        <v>167000</v>
      </c>
      <c r="D23" s="7" t="str">
        <f t="shared" si="0"/>
        <v/>
      </c>
      <c r="E23" s="28" t="str">
        <f t="shared" si="1"/>
        <v/>
      </c>
      <c r="F23" s="7" t="str">
        <f t="shared" si="2"/>
        <v/>
      </c>
    </row>
    <row r="24" spans="1:6" x14ac:dyDescent="0.15">
      <c r="A24" s="7" t="s">
        <v>9</v>
      </c>
      <c r="B24" t="s">
        <v>10</v>
      </c>
      <c r="C24" s="9">
        <v>202000</v>
      </c>
      <c r="D24" s="7" t="str">
        <f t="shared" si="0"/>
        <v/>
      </c>
      <c r="E24" s="28" t="str">
        <f t="shared" si="1"/>
        <v/>
      </c>
      <c r="F24" s="7" t="str">
        <f t="shared" si="2"/>
        <v/>
      </c>
    </row>
    <row r="25" spans="1:6" x14ac:dyDescent="0.15">
      <c r="A25" s="7" t="s">
        <v>59</v>
      </c>
      <c r="B25" t="s">
        <v>38</v>
      </c>
      <c r="C25" s="9">
        <v>203000</v>
      </c>
      <c r="D25" s="7" t="str">
        <f t="shared" si="0"/>
        <v/>
      </c>
      <c r="E25" s="28" t="str">
        <f t="shared" si="1"/>
        <v/>
      </c>
      <c r="F25" s="7" t="str">
        <f t="shared" si="2"/>
        <v/>
      </c>
    </row>
    <row r="26" spans="1:6" x14ac:dyDescent="0.15">
      <c r="A26" s="7" t="s">
        <v>29</v>
      </c>
      <c r="B26" t="s">
        <v>30</v>
      </c>
      <c r="C26" s="9">
        <v>234000</v>
      </c>
      <c r="D26" s="7" t="str">
        <f t="shared" si="0"/>
        <v/>
      </c>
      <c r="E26" s="28" t="str">
        <f t="shared" si="1"/>
        <v/>
      </c>
      <c r="F26" s="7" t="str">
        <f t="shared" si="2"/>
        <v/>
      </c>
    </row>
    <row r="27" spans="1:6" x14ac:dyDescent="0.15">
      <c r="A27" s="7" t="s">
        <v>56</v>
      </c>
      <c r="B27" t="s">
        <v>30</v>
      </c>
      <c r="C27" s="9">
        <v>252000</v>
      </c>
      <c r="D27" s="7" t="str">
        <f t="shared" si="0"/>
        <v/>
      </c>
      <c r="E27" s="28" t="str">
        <f t="shared" si="1"/>
        <v/>
      </c>
      <c r="F27" s="7" t="str">
        <f t="shared" si="2"/>
        <v/>
      </c>
    </row>
    <row r="28" spans="1:6" x14ac:dyDescent="0.15">
      <c r="A28" s="7" t="s">
        <v>31</v>
      </c>
      <c r="B28" t="s">
        <v>6</v>
      </c>
      <c r="C28" s="9">
        <v>259000</v>
      </c>
      <c r="D28" s="7" t="str">
        <f t="shared" si="0"/>
        <v/>
      </c>
      <c r="E28" s="28" t="str">
        <f t="shared" si="1"/>
        <v/>
      </c>
      <c r="F28" s="7" t="str">
        <f t="shared" si="2"/>
        <v/>
      </c>
    </row>
    <row r="29" spans="1:6" x14ac:dyDescent="0.15">
      <c r="A29" s="7" t="s">
        <v>59</v>
      </c>
      <c r="B29" t="s">
        <v>38</v>
      </c>
      <c r="C29" s="9">
        <v>269000</v>
      </c>
      <c r="D29" s="7" t="str">
        <f t="shared" si="0"/>
        <v/>
      </c>
      <c r="E29" s="28" t="str">
        <f t="shared" si="1"/>
        <v/>
      </c>
      <c r="F29" s="7" t="str">
        <f t="shared" si="2"/>
        <v/>
      </c>
    </row>
    <row r="30" spans="1:6" x14ac:dyDescent="0.15">
      <c r="A30" s="7" t="s">
        <v>56</v>
      </c>
      <c r="B30" t="s">
        <v>30</v>
      </c>
      <c r="C30" s="9">
        <v>271000</v>
      </c>
      <c r="D30" s="7" t="str">
        <f t="shared" si="0"/>
        <v/>
      </c>
      <c r="E30" s="28" t="str">
        <f t="shared" si="1"/>
        <v/>
      </c>
      <c r="F30" s="7" t="str">
        <f t="shared" si="2"/>
        <v/>
      </c>
    </row>
    <row r="31" spans="1:6" x14ac:dyDescent="0.15">
      <c r="A31" s="7" t="s">
        <v>56</v>
      </c>
      <c r="B31" t="s">
        <v>30</v>
      </c>
      <c r="C31" s="9">
        <v>292000</v>
      </c>
      <c r="D31" s="7" t="str">
        <f t="shared" si="0"/>
        <v/>
      </c>
      <c r="E31" s="28" t="str">
        <f t="shared" si="1"/>
        <v/>
      </c>
      <c r="F31" s="7" t="str">
        <f t="shared" si="2"/>
        <v/>
      </c>
    </row>
    <row r="32" spans="1:6" x14ac:dyDescent="0.15">
      <c r="A32" s="7" t="s">
        <v>5</v>
      </c>
      <c r="B32" t="s">
        <v>6</v>
      </c>
      <c r="C32" s="9">
        <v>293000</v>
      </c>
      <c r="D32" s="7" t="str">
        <f t="shared" si="0"/>
        <v/>
      </c>
      <c r="E32" s="28" t="str">
        <f t="shared" si="1"/>
        <v/>
      </c>
      <c r="F32" s="7" t="str">
        <f t="shared" si="2"/>
        <v/>
      </c>
    </row>
    <row r="33" spans="1:6" x14ac:dyDescent="0.15">
      <c r="A33" s="7" t="s">
        <v>47</v>
      </c>
      <c r="B33" t="s">
        <v>48</v>
      </c>
      <c r="C33" s="9">
        <v>307000</v>
      </c>
      <c r="D33" s="7" t="str">
        <f t="shared" si="0"/>
        <v/>
      </c>
      <c r="E33" s="28" t="str">
        <f t="shared" si="1"/>
        <v/>
      </c>
      <c r="F33" s="7" t="str">
        <f t="shared" si="2"/>
        <v/>
      </c>
    </row>
    <row r="34" spans="1:6" x14ac:dyDescent="0.15">
      <c r="A34" s="7" t="s">
        <v>39</v>
      </c>
      <c r="B34" t="s">
        <v>40</v>
      </c>
      <c r="C34" s="9">
        <v>440000</v>
      </c>
      <c r="D34" s="7" t="str">
        <f t="shared" si="0"/>
        <v/>
      </c>
      <c r="E34" s="28" t="str">
        <f t="shared" si="1"/>
        <v/>
      </c>
      <c r="F34" s="7" t="str">
        <f t="shared" si="2"/>
        <v/>
      </c>
    </row>
    <row r="35" spans="1:6" x14ac:dyDescent="0.15">
      <c r="A35" s="7" t="s">
        <v>36</v>
      </c>
      <c r="B35" t="s">
        <v>30</v>
      </c>
      <c r="C35" s="9">
        <v>487000</v>
      </c>
      <c r="D35" s="7" t="str">
        <f t="shared" si="0"/>
        <v/>
      </c>
      <c r="E35" s="28" t="str">
        <f t="shared" si="1"/>
        <v/>
      </c>
      <c r="F35" s="7" t="str">
        <f t="shared" si="2"/>
        <v/>
      </c>
    </row>
    <row r="36" spans="1:6" x14ac:dyDescent="0.15">
      <c r="A36" s="7" t="s">
        <v>49</v>
      </c>
      <c r="B36" t="s">
        <v>30</v>
      </c>
      <c r="C36" s="9">
        <v>566000</v>
      </c>
      <c r="D36" s="7" t="str">
        <f t="shared" si="0"/>
        <v/>
      </c>
      <c r="E36" s="28" t="str">
        <f t="shared" si="1"/>
        <v/>
      </c>
      <c r="F36" s="7" t="str">
        <f t="shared" si="2"/>
        <v/>
      </c>
    </row>
    <row r="37" spans="1:6" x14ac:dyDescent="0.15">
      <c r="A37" s="7" t="s">
        <v>20</v>
      </c>
      <c r="B37" t="s">
        <v>10</v>
      </c>
      <c r="C37" s="9">
        <v>802000</v>
      </c>
      <c r="D37" s="7" t="str">
        <f t="shared" si="0"/>
        <v/>
      </c>
      <c r="E37" s="28" t="str">
        <f t="shared" si="1"/>
        <v/>
      </c>
      <c r="F37" s="7" t="str">
        <f t="shared" si="2"/>
        <v/>
      </c>
    </row>
    <row r="38" spans="1:6" x14ac:dyDescent="0.15">
      <c r="A38" s="7" t="s">
        <v>18</v>
      </c>
      <c r="B38" t="s">
        <v>19</v>
      </c>
      <c r="C38" s="9">
        <v>1579000</v>
      </c>
      <c r="D38" s="7" t="str">
        <f t="shared" si="0"/>
        <v/>
      </c>
      <c r="E38" s="28" t="str">
        <f t="shared" si="1"/>
        <v/>
      </c>
      <c r="F38" s="7" t="str">
        <f t="shared" si="2"/>
        <v/>
      </c>
    </row>
    <row r="39" spans="1:6" x14ac:dyDescent="0.15">
      <c r="A39" s="7" t="s">
        <v>46</v>
      </c>
      <c r="B39" t="s">
        <v>30</v>
      </c>
      <c r="C39" s="10">
        <v>0</v>
      </c>
      <c r="D39" s="7" t="str">
        <f t="shared" si="0"/>
        <v/>
      </c>
      <c r="E39" s="28" t="str">
        <f t="shared" si="1"/>
        <v/>
      </c>
      <c r="F39" s="7" t="str">
        <f t="shared" si="2"/>
        <v/>
      </c>
    </row>
    <row r="40" spans="1:6" x14ac:dyDescent="0.15">
      <c r="A40" s="7" t="s">
        <v>67</v>
      </c>
      <c r="B40" t="s">
        <v>68</v>
      </c>
      <c r="C40" s="9">
        <v>70000</v>
      </c>
      <c r="D40" s="7" t="str">
        <f t="shared" si="0"/>
        <v/>
      </c>
      <c r="E40" s="28" t="str">
        <f t="shared" si="1"/>
        <v/>
      </c>
      <c r="F40" s="7" t="str">
        <f t="shared" si="2"/>
        <v/>
      </c>
    </row>
    <row r="41" spans="1:6" x14ac:dyDescent="0.15">
      <c r="A41" s="7" t="s">
        <v>21</v>
      </c>
      <c r="B41" t="s">
        <v>22</v>
      </c>
      <c r="C41" s="9">
        <v>104000</v>
      </c>
      <c r="D41" s="7" t="str">
        <f t="shared" si="0"/>
        <v/>
      </c>
      <c r="E41" s="28" t="str">
        <f t="shared" si="1"/>
        <v/>
      </c>
      <c r="F41" s="7" t="str">
        <f t="shared" si="2"/>
        <v/>
      </c>
    </row>
    <row r="42" spans="1:6" x14ac:dyDescent="0.15">
      <c r="A42" s="7" t="s">
        <v>61</v>
      </c>
      <c r="B42" t="s">
        <v>24</v>
      </c>
      <c r="C42" s="9">
        <v>127000</v>
      </c>
      <c r="D42" s="7" t="str">
        <f t="shared" si="0"/>
        <v/>
      </c>
      <c r="E42" s="28" t="str">
        <f t="shared" si="1"/>
        <v/>
      </c>
      <c r="F42" s="7" t="str">
        <f t="shared" si="2"/>
        <v/>
      </c>
    </row>
    <row r="43" spans="1:6" x14ac:dyDescent="0.15">
      <c r="A43" s="7" t="s">
        <v>42</v>
      </c>
      <c r="B43" t="s">
        <v>43</v>
      </c>
      <c r="C43" s="9">
        <v>162000</v>
      </c>
      <c r="D43" s="7" t="str">
        <f t="shared" si="0"/>
        <v/>
      </c>
      <c r="E43" s="28" t="str">
        <f t="shared" si="1"/>
        <v/>
      </c>
      <c r="F43" s="7" t="str">
        <f t="shared" si="2"/>
        <v/>
      </c>
    </row>
    <row r="44" spans="1:6" x14ac:dyDescent="0.15">
      <c r="A44" s="7" t="s">
        <v>44</v>
      </c>
      <c r="B44" t="s">
        <v>38</v>
      </c>
      <c r="C44" s="9">
        <v>179000</v>
      </c>
      <c r="D44" s="7" t="str">
        <f t="shared" si="0"/>
        <v/>
      </c>
      <c r="E44" s="28" t="str">
        <f t="shared" si="1"/>
        <v/>
      </c>
      <c r="F44" s="7" t="str">
        <f t="shared" si="2"/>
        <v/>
      </c>
    </row>
    <row r="45" spans="1:6" x14ac:dyDescent="0.15">
      <c r="A45" s="7" t="s">
        <v>70</v>
      </c>
      <c r="B45" t="s">
        <v>58</v>
      </c>
      <c r="C45" s="9">
        <v>186000</v>
      </c>
      <c r="D45" s="7" t="str">
        <f t="shared" si="0"/>
        <v/>
      </c>
      <c r="E45" s="28" t="str">
        <f t="shared" si="1"/>
        <v/>
      </c>
      <c r="F45" s="7" t="str">
        <f t="shared" si="2"/>
        <v/>
      </c>
    </row>
    <row r="46" spans="1:6" x14ac:dyDescent="0.15">
      <c r="A46" s="7" t="s">
        <v>33</v>
      </c>
      <c r="B46" t="s">
        <v>6</v>
      </c>
      <c r="C46" s="9">
        <v>186000</v>
      </c>
      <c r="D46" s="7" t="str">
        <f t="shared" si="0"/>
        <v/>
      </c>
      <c r="E46" s="28" t="str">
        <f t="shared" si="1"/>
        <v/>
      </c>
      <c r="F46" s="7" t="str">
        <f t="shared" si="2"/>
        <v/>
      </c>
    </row>
    <row r="47" spans="1:6" x14ac:dyDescent="0.15">
      <c r="A47" s="7" t="s">
        <v>20</v>
      </c>
      <c r="B47" t="s">
        <v>10</v>
      </c>
      <c r="C47" s="9">
        <v>203000</v>
      </c>
      <c r="D47" s="7" t="str">
        <f t="shared" si="0"/>
        <v/>
      </c>
      <c r="E47" s="28" t="str">
        <f t="shared" si="1"/>
        <v/>
      </c>
      <c r="F47" s="7" t="str">
        <f t="shared" si="2"/>
        <v/>
      </c>
    </row>
    <row r="48" spans="1:6" x14ac:dyDescent="0.15">
      <c r="A48" s="7" t="s">
        <v>45</v>
      </c>
      <c r="B48" t="s">
        <v>10</v>
      </c>
      <c r="C48" s="9">
        <v>212000</v>
      </c>
      <c r="D48" s="7" t="str">
        <f t="shared" si="0"/>
        <v/>
      </c>
      <c r="E48" s="28" t="str">
        <f t="shared" si="1"/>
        <v/>
      </c>
      <c r="F48" s="7" t="str">
        <f t="shared" si="2"/>
        <v/>
      </c>
    </row>
    <row r="49" spans="1:6" x14ac:dyDescent="0.15">
      <c r="A49" s="7" t="s">
        <v>50</v>
      </c>
      <c r="B49" t="s">
        <v>51</v>
      </c>
      <c r="C49" s="9">
        <v>222000</v>
      </c>
      <c r="D49" s="7" t="str">
        <f t="shared" si="0"/>
        <v/>
      </c>
      <c r="E49" s="28" t="str">
        <f t="shared" si="1"/>
        <v/>
      </c>
      <c r="F49" s="7" t="str">
        <f t="shared" si="2"/>
        <v/>
      </c>
    </row>
    <row r="50" spans="1:6" x14ac:dyDescent="0.15">
      <c r="A50" s="7" t="s">
        <v>21</v>
      </c>
      <c r="B50" t="s">
        <v>22</v>
      </c>
      <c r="C50" s="9">
        <v>245000</v>
      </c>
      <c r="D50" s="7" t="str">
        <f t="shared" si="0"/>
        <v/>
      </c>
      <c r="E50" s="28" t="str">
        <f t="shared" si="1"/>
        <v/>
      </c>
      <c r="F50" s="7" t="str">
        <f t="shared" si="2"/>
        <v/>
      </c>
    </row>
    <row r="51" spans="1:6" x14ac:dyDescent="0.15">
      <c r="A51" s="7" t="s">
        <v>60</v>
      </c>
      <c r="B51" t="s">
        <v>38</v>
      </c>
      <c r="C51" s="9">
        <v>251000</v>
      </c>
      <c r="D51" s="7" t="str">
        <f t="shared" si="0"/>
        <v/>
      </c>
      <c r="E51" s="28" t="str">
        <f t="shared" si="1"/>
        <v/>
      </c>
      <c r="F51" s="7" t="str">
        <f t="shared" si="2"/>
        <v/>
      </c>
    </row>
    <row r="52" spans="1:6" x14ac:dyDescent="0.15">
      <c r="A52" s="7" t="s">
        <v>69</v>
      </c>
      <c r="B52" t="s">
        <v>51</v>
      </c>
      <c r="C52" s="9">
        <v>257000</v>
      </c>
      <c r="D52" s="7" t="str">
        <f t="shared" si="0"/>
        <v/>
      </c>
      <c r="E52" s="28" t="str">
        <f t="shared" si="1"/>
        <v/>
      </c>
      <c r="F52" s="7" t="str">
        <f t="shared" si="2"/>
        <v/>
      </c>
    </row>
    <row r="53" spans="1:6" x14ac:dyDescent="0.15">
      <c r="A53" s="7" t="s">
        <v>69</v>
      </c>
      <c r="B53" t="s">
        <v>51</v>
      </c>
      <c r="C53" s="9">
        <v>269000</v>
      </c>
      <c r="D53" s="7" t="str">
        <f t="shared" si="0"/>
        <v/>
      </c>
      <c r="E53" s="28" t="str">
        <f t="shared" si="1"/>
        <v/>
      </c>
      <c r="F53" s="7" t="str">
        <f t="shared" si="2"/>
        <v/>
      </c>
    </row>
    <row r="54" spans="1:6" x14ac:dyDescent="0.15">
      <c r="A54" s="7" t="s">
        <v>57</v>
      </c>
      <c r="B54" t="s">
        <v>58</v>
      </c>
      <c r="C54" s="9">
        <v>314000</v>
      </c>
      <c r="D54" s="7" t="str">
        <f t="shared" si="0"/>
        <v/>
      </c>
      <c r="E54" s="28" t="str">
        <f t="shared" si="1"/>
        <v/>
      </c>
      <c r="F54" s="7" t="str">
        <f t="shared" si="2"/>
        <v/>
      </c>
    </row>
    <row r="55" spans="1:6" x14ac:dyDescent="0.15">
      <c r="A55" s="7" t="s">
        <v>53</v>
      </c>
      <c r="B55" t="s">
        <v>54</v>
      </c>
      <c r="C55" s="9">
        <v>325000</v>
      </c>
      <c r="D55" s="7" t="str">
        <f t="shared" si="0"/>
        <v/>
      </c>
      <c r="E55" s="28" t="str">
        <f t="shared" si="1"/>
        <v/>
      </c>
      <c r="F55" s="7" t="str">
        <f t="shared" si="2"/>
        <v/>
      </c>
    </row>
    <row r="56" spans="1:6" x14ac:dyDescent="0.15">
      <c r="A56" s="7" t="s">
        <v>5</v>
      </c>
      <c r="B56" t="s">
        <v>6</v>
      </c>
      <c r="C56" s="9">
        <v>347000</v>
      </c>
      <c r="D56" s="7" t="str">
        <f t="shared" si="0"/>
        <v>trovato</v>
      </c>
      <c r="E56" s="28" t="str">
        <f t="shared" si="1"/>
        <v/>
      </c>
      <c r="F56" s="7" t="str">
        <f t="shared" si="2"/>
        <v/>
      </c>
    </row>
    <row r="57" spans="1:6" x14ac:dyDescent="0.15">
      <c r="A57" s="7" t="s">
        <v>31</v>
      </c>
      <c r="B57" t="s">
        <v>6</v>
      </c>
      <c r="C57" s="9">
        <v>369000</v>
      </c>
      <c r="D57" s="7" t="str">
        <f t="shared" si="0"/>
        <v>trovato</v>
      </c>
      <c r="E57" s="28" t="str">
        <f t="shared" si="1"/>
        <v/>
      </c>
      <c r="F57" s="7" t="str">
        <f t="shared" si="2"/>
        <v/>
      </c>
    </row>
    <row r="58" spans="1:6" x14ac:dyDescent="0.15">
      <c r="A58" s="7" t="s">
        <v>31</v>
      </c>
      <c r="B58" t="s">
        <v>6</v>
      </c>
      <c r="C58" s="9">
        <v>402000</v>
      </c>
      <c r="D58" s="7" t="str">
        <f t="shared" si="0"/>
        <v>trovato</v>
      </c>
      <c r="E58" s="28" t="str">
        <f t="shared" si="1"/>
        <v/>
      </c>
      <c r="F58" s="7" t="str">
        <f t="shared" si="2"/>
        <v/>
      </c>
    </row>
    <row r="59" spans="1:6" x14ac:dyDescent="0.15">
      <c r="A59" s="7" t="s">
        <v>47</v>
      </c>
      <c r="B59" t="s">
        <v>48</v>
      </c>
      <c r="C59" s="9">
        <v>471000</v>
      </c>
      <c r="D59" s="7" t="str">
        <f t="shared" si="0"/>
        <v/>
      </c>
      <c r="E59" s="28" t="str">
        <f t="shared" si="1"/>
        <v/>
      </c>
      <c r="F59" s="7" t="str">
        <f t="shared" si="2"/>
        <v/>
      </c>
    </row>
    <row r="60" spans="1:6" x14ac:dyDescent="0.15">
      <c r="A60" s="7" t="s">
        <v>25</v>
      </c>
      <c r="B60" t="s">
        <v>26</v>
      </c>
      <c r="C60" s="9">
        <v>476000</v>
      </c>
      <c r="D60" s="7" t="str">
        <f t="shared" si="0"/>
        <v/>
      </c>
      <c r="E60" s="28" t="str">
        <f t="shared" si="1"/>
        <v/>
      </c>
      <c r="F60" s="7" t="str">
        <f t="shared" si="2"/>
        <v/>
      </c>
    </row>
    <row r="61" spans="1:6" x14ac:dyDescent="0.15">
      <c r="A61" s="7" t="s">
        <v>65</v>
      </c>
      <c r="B61" t="s">
        <v>64</v>
      </c>
      <c r="C61" s="9">
        <v>492000</v>
      </c>
      <c r="D61" s="7" t="str">
        <f t="shared" si="0"/>
        <v/>
      </c>
      <c r="E61" s="28" t="str">
        <f t="shared" si="1"/>
        <v/>
      </c>
      <c r="F61" s="7" t="str">
        <f t="shared" si="2"/>
        <v/>
      </c>
    </row>
    <row r="62" spans="1:6" x14ac:dyDescent="0.15">
      <c r="A62" s="7" t="s">
        <v>66</v>
      </c>
      <c r="B62" t="s">
        <v>51</v>
      </c>
      <c r="C62" s="9">
        <v>531000</v>
      </c>
      <c r="D62" s="7" t="str">
        <f t="shared" si="0"/>
        <v/>
      </c>
      <c r="E62" s="28" t="str">
        <f t="shared" si="1"/>
        <v/>
      </c>
      <c r="F62" s="7" t="str">
        <f t="shared" si="2"/>
        <v/>
      </c>
    </row>
    <row r="63" spans="1:6" x14ac:dyDescent="0.15">
      <c r="A63" s="7" t="s">
        <v>33</v>
      </c>
      <c r="B63" t="s">
        <v>6</v>
      </c>
      <c r="C63" s="9">
        <v>552000</v>
      </c>
      <c r="D63" s="7" t="str">
        <f t="shared" si="0"/>
        <v>trovato</v>
      </c>
      <c r="E63" s="28" t="str">
        <f t="shared" si="1"/>
        <v/>
      </c>
      <c r="F63" s="7" t="str">
        <f t="shared" si="2"/>
        <v/>
      </c>
    </row>
    <row r="64" spans="1:6" x14ac:dyDescent="0.15">
      <c r="A64" s="7" t="s">
        <v>9</v>
      </c>
      <c r="B64" t="s">
        <v>10</v>
      </c>
      <c r="C64" s="9">
        <v>1487000</v>
      </c>
      <c r="D64" s="7" t="str">
        <f t="shared" si="0"/>
        <v/>
      </c>
      <c r="E64" s="28" t="str">
        <f t="shared" si="1"/>
        <v/>
      </c>
      <c r="F64" s="7" t="str">
        <f t="shared" si="2"/>
        <v/>
      </c>
    </row>
    <row r="65" spans="1:6" x14ac:dyDescent="0.15">
      <c r="A65" s="7" t="s">
        <v>65</v>
      </c>
      <c r="B65" t="s">
        <v>64</v>
      </c>
      <c r="C65" s="10">
        <v>0</v>
      </c>
      <c r="D65" s="7" t="str">
        <f t="shared" si="0"/>
        <v/>
      </c>
      <c r="E65" s="28" t="str">
        <f t="shared" si="1"/>
        <v/>
      </c>
      <c r="F65" s="7" t="str">
        <f t="shared" si="2"/>
        <v/>
      </c>
    </row>
    <row r="66" spans="1:6" x14ac:dyDescent="0.15">
      <c r="A66" s="7" t="s">
        <v>9</v>
      </c>
      <c r="B66" t="s">
        <v>10</v>
      </c>
      <c r="C66" s="9">
        <v>101000</v>
      </c>
      <c r="D66" s="7" t="str">
        <f t="shared" si="0"/>
        <v/>
      </c>
      <c r="E66" s="28" t="str">
        <f t="shared" si="1"/>
        <v/>
      </c>
      <c r="F66" s="7" t="str">
        <f t="shared" si="2"/>
        <v/>
      </c>
    </row>
    <row r="67" spans="1:6" x14ac:dyDescent="0.15">
      <c r="A67" s="7" t="s">
        <v>70</v>
      </c>
      <c r="B67" t="s">
        <v>58</v>
      </c>
      <c r="C67" s="9">
        <v>38000</v>
      </c>
      <c r="D67" s="7" t="str">
        <f t="shared" si="0"/>
        <v/>
      </c>
      <c r="E67" s="28" t="str">
        <f t="shared" si="1"/>
        <v/>
      </c>
      <c r="F67" s="7" t="str">
        <f t="shared" si="2"/>
        <v/>
      </c>
    </row>
    <row r="68" spans="1:6" x14ac:dyDescent="0.15">
      <c r="A68" s="7" t="s">
        <v>70</v>
      </c>
      <c r="B68" t="s">
        <v>58</v>
      </c>
      <c r="C68" s="9">
        <v>137000</v>
      </c>
      <c r="D68" s="7" t="str">
        <f t="shared" si="0"/>
        <v/>
      </c>
      <c r="E68" s="28" t="str">
        <f t="shared" si="1"/>
        <v/>
      </c>
      <c r="F68" s="7" t="str">
        <f t="shared" si="2"/>
        <v/>
      </c>
    </row>
    <row r="69" spans="1:6" x14ac:dyDescent="0.15">
      <c r="A69" s="7" t="s">
        <v>73</v>
      </c>
      <c r="B69" t="s">
        <v>64</v>
      </c>
      <c r="C69" s="9">
        <v>222000</v>
      </c>
      <c r="D69" s="7" t="str">
        <f t="shared" si="0"/>
        <v/>
      </c>
      <c r="E69" s="28" t="str">
        <f t="shared" si="1"/>
        <v/>
      </c>
      <c r="F69" s="7" t="str">
        <f t="shared" si="2"/>
        <v/>
      </c>
    </row>
    <row r="70" spans="1:6" x14ac:dyDescent="0.15">
      <c r="A70" s="7" t="s">
        <v>71</v>
      </c>
      <c r="B70" t="s">
        <v>72</v>
      </c>
      <c r="C70" s="9">
        <v>501000</v>
      </c>
      <c r="D70" s="7" t="str">
        <f t="shared" ref="D70:D133" si="3">IF(AND(B70="abbigliamento",C70&gt;300000),"trovato","")</f>
        <v/>
      </c>
      <c r="E70" s="28" t="str">
        <f t="shared" si="1"/>
        <v/>
      </c>
      <c r="F70" s="7" t="str">
        <f t="shared" si="2"/>
        <v/>
      </c>
    </row>
    <row r="71" spans="1:6" x14ac:dyDescent="0.15">
      <c r="A71" s="7" t="s">
        <v>27</v>
      </c>
      <c r="B71" t="s">
        <v>28</v>
      </c>
      <c r="C71" s="9">
        <v>428000</v>
      </c>
      <c r="D71" s="7" t="str">
        <f t="shared" si="3"/>
        <v/>
      </c>
      <c r="E71" s="28" t="str">
        <f t="shared" si="1"/>
        <v/>
      </c>
      <c r="F71" s="7" t="str">
        <f t="shared" si="2"/>
        <v/>
      </c>
    </row>
    <row r="72" spans="1:6" x14ac:dyDescent="0.15">
      <c r="A72" s="7" t="s">
        <v>37</v>
      </c>
      <c r="B72" t="s">
        <v>38</v>
      </c>
      <c r="C72" s="9">
        <v>561000</v>
      </c>
      <c r="D72" s="7" t="str">
        <f t="shared" si="3"/>
        <v/>
      </c>
      <c r="E72" s="28" t="str">
        <f t="shared" ref="E72:E135" si="4">IF(A72="HHB",C72*(22/100),"")</f>
        <v/>
      </c>
      <c r="F72" s="7" t="str">
        <f t="shared" si="2"/>
        <v/>
      </c>
    </row>
    <row r="73" spans="1:6" x14ac:dyDescent="0.15">
      <c r="A73" s="7" t="s">
        <v>60</v>
      </c>
      <c r="B73" t="s">
        <v>38</v>
      </c>
      <c r="C73" s="9">
        <v>1578000</v>
      </c>
      <c r="D73" s="7" t="str">
        <f t="shared" si="3"/>
        <v/>
      </c>
      <c r="E73" s="28" t="str">
        <f t="shared" si="4"/>
        <v/>
      </c>
      <c r="F73" s="7" t="str">
        <f t="shared" si="2"/>
        <v/>
      </c>
    </row>
    <row r="74" spans="1:6" x14ac:dyDescent="0.15">
      <c r="A74" s="7" t="s">
        <v>23</v>
      </c>
      <c r="B74" t="s">
        <v>24</v>
      </c>
      <c r="C74" s="9">
        <v>34000</v>
      </c>
      <c r="D74" s="7" t="str">
        <f t="shared" si="3"/>
        <v/>
      </c>
      <c r="E74" s="28" t="str">
        <f t="shared" si="4"/>
        <v/>
      </c>
      <c r="F74" s="7" t="str">
        <f t="shared" si="2"/>
        <v/>
      </c>
    </row>
    <row r="75" spans="1:6" x14ac:dyDescent="0.15">
      <c r="A75" s="7" t="s">
        <v>71</v>
      </c>
      <c r="B75" t="s">
        <v>72</v>
      </c>
      <c r="C75" s="9">
        <v>20000</v>
      </c>
      <c r="D75" s="7" t="str">
        <f t="shared" si="3"/>
        <v/>
      </c>
      <c r="E75" s="28" t="str">
        <f t="shared" si="4"/>
        <v/>
      </c>
      <c r="F75" s="7" t="str">
        <f t="shared" si="2"/>
        <v/>
      </c>
    </row>
    <row r="76" spans="1:6" x14ac:dyDescent="0.15">
      <c r="A76" s="7" t="s">
        <v>25</v>
      </c>
      <c r="B76" t="s">
        <v>26</v>
      </c>
      <c r="C76" s="9">
        <v>23000</v>
      </c>
      <c r="D76" s="7" t="str">
        <f t="shared" si="3"/>
        <v/>
      </c>
      <c r="E76" s="28" t="str">
        <f t="shared" si="4"/>
        <v/>
      </c>
      <c r="F76" s="7" t="str">
        <f t="shared" si="2"/>
        <v/>
      </c>
    </row>
    <row r="77" spans="1:6" x14ac:dyDescent="0.15">
      <c r="A77" s="7" t="s">
        <v>73</v>
      </c>
      <c r="B77" t="s">
        <v>64</v>
      </c>
      <c r="C77" s="9">
        <v>98000</v>
      </c>
      <c r="D77" s="7" t="str">
        <f t="shared" si="3"/>
        <v/>
      </c>
      <c r="E77" s="28" t="str">
        <f t="shared" si="4"/>
        <v/>
      </c>
      <c r="F77" s="7" t="str">
        <f t="shared" si="2"/>
        <v/>
      </c>
    </row>
    <row r="78" spans="1:6" x14ac:dyDescent="0.15">
      <c r="A78" s="7" t="s">
        <v>62</v>
      </c>
      <c r="B78" t="s">
        <v>28</v>
      </c>
      <c r="C78" s="9">
        <v>251000</v>
      </c>
      <c r="D78" s="7" t="str">
        <f t="shared" si="3"/>
        <v/>
      </c>
      <c r="E78" s="28" t="str">
        <f t="shared" si="4"/>
        <v/>
      </c>
      <c r="F78" s="7" t="str">
        <f t="shared" si="2"/>
        <v/>
      </c>
    </row>
    <row r="79" spans="1:6" x14ac:dyDescent="0.15">
      <c r="A79" s="7" t="s">
        <v>33</v>
      </c>
      <c r="B79" t="s">
        <v>6</v>
      </c>
      <c r="C79" s="9">
        <v>15000</v>
      </c>
      <c r="D79" s="7" t="str">
        <f t="shared" si="3"/>
        <v/>
      </c>
      <c r="E79" s="28" t="str">
        <f t="shared" si="4"/>
        <v/>
      </c>
      <c r="F79" s="7" t="str">
        <f t="shared" si="2"/>
        <v/>
      </c>
    </row>
    <row r="80" spans="1:6" x14ac:dyDescent="0.15">
      <c r="A80" s="7" t="s">
        <v>32</v>
      </c>
      <c r="B80" t="s">
        <v>22</v>
      </c>
      <c r="C80" s="9">
        <v>14000</v>
      </c>
      <c r="D80" s="7" t="str">
        <f t="shared" si="3"/>
        <v/>
      </c>
      <c r="E80" s="28" t="str">
        <f t="shared" si="4"/>
        <v/>
      </c>
      <c r="F80" s="7" t="str">
        <f t="shared" ref="F80:F143" si="5">IF(AND(B80="manuali",C80&lt;1000000),"VERO","")</f>
        <v/>
      </c>
    </row>
    <row r="81" spans="1:6" x14ac:dyDescent="0.15">
      <c r="A81" s="7" t="s">
        <v>74</v>
      </c>
      <c r="B81" t="s">
        <v>38</v>
      </c>
      <c r="C81" s="10">
        <v>0</v>
      </c>
      <c r="D81" s="7" t="str">
        <f t="shared" si="3"/>
        <v/>
      </c>
      <c r="E81" s="28" t="str">
        <f t="shared" si="4"/>
        <v/>
      </c>
      <c r="F81" s="7" t="str">
        <f t="shared" si="5"/>
        <v/>
      </c>
    </row>
    <row r="82" spans="1:6" x14ac:dyDescent="0.15">
      <c r="A82" s="7" t="s">
        <v>74</v>
      </c>
      <c r="B82" t="s">
        <v>38</v>
      </c>
      <c r="C82" s="9">
        <v>399000</v>
      </c>
      <c r="D82" s="7" t="str">
        <f t="shared" si="3"/>
        <v/>
      </c>
      <c r="E82" s="28" t="str">
        <f t="shared" si="4"/>
        <v/>
      </c>
      <c r="F82" s="7" t="str">
        <f t="shared" si="5"/>
        <v/>
      </c>
    </row>
    <row r="83" spans="1:6" x14ac:dyDescent="0.15">
      <c r="A83" s="7" t="s">
        <v>63</v>
      </c>
      <c r="B83" t="s">
        <v>64</v>
      </c>
      <c r="C83" s="9">
        <v>259000</v>
      </c>
      <c r="D83" s="7" t="str">
        <f t="shared" si="3"/>
        <v/>
      </c>
      <c r="E83" s="28" t="str">
        <f t="shared" si="4"/>
        <v/>
      </c>
      <c r="F83" s="7" t="str">
        <f t="shared" si="5"/>
        <v/>
      </c>
    </row>
    <row r="84" spans="1:6" x14ac:dyDescent="0.15">
      <c r="A84" s="7" t="s">
        <v>61</v>
      </c>
      <c r="B84" t="s">
        <v>6</v>
      </c>
      <c r="C84" s="9">
        <v>324000</v>
      </c>
      <c r="D84" s="7" t="str">
        <f t="shared" si="3"/>
        <v>trovato</v>
      </c>
      <c r="E84" s="28" t="str">
        <f t="shared" si="4"/>
        <v/>
      </c>
      <c r="F84" s="7" t="str">
        <f t="shared" si="5"/>
        <v/>
      </c>
    </row>
    <row r="85" spans="1:6" x14ac:dyDescent="0.15">
      <c r="A85" s="7" t="s">
        <v>41</v>
      </c>
      <c r="B85" t="s">
        <v>6</v>
      </c>
      <c r="C85" s="9">
        <v>378000</v>
      </c>
      <c r="D85" s="7" t="str">
        <f t="shared" si="3"/>
        <v>trovato</v>
      </c>
      <c r="E85" s="28" t="str">
        <f t="shared" si="4"/>
        <v/>
      </c>
      <c r="F85" s="7" t="str">
        <f t="shared" si="5"/>
        <v/>
      </c>
    </row>
    <row r="86" spans="1:6" x14ac:dyDescent="0.15">
      <c r="A86" s="7" t="s">
        <v>193</v>
      </c>
      <c r="B86" t="s">
        <v>38</v>
      </c>
      <c r="C86" s="9">
        <v>469000</v>
      </c>
      <c r="D86" s="7" t="str">
        <f t="shared" si="3"/>
        <v/>
      </c>
      <c r="E86" s="28">
        <f t="shared" si="4"/>
        <v>103180</v>
      </c>
      <c r="F86" s="7" t="str">
        <f t="shared" si="5"/>
        <v/>
      </c>
    </row>
    <row r="87" spans="1:6" x14ac:dyDescent="0.15">
      <c r="A87" s="7" t="s">
        <v>62</v>
      </c>
      <c r="B87" t="s">
        <v>28</v>
      </c>
      <c r="C87" s="9">
        <v>556000</v>
      </c>
      <c r="D87" s="7" t="str">
        <f t="shared" si="3"/>
        <v/>
      </c>
      <c r="E87" s="28" t="str">
        <f t="shared" si="4"/>
        <v/>
      </c>
      <c r="F87" s="7" t="str">
        <f t="shared" si="5"/>
        <v/>
      </c>
    </row>
    <row r="88" spans="1:6" x14ac:dyDescent="0.15">
      <c r="A88" s="7" t="s">
        <v>25</v>
      </c>
      <c r="B88" t="s">
        <v>26</v>
      </c>
      <c r="C88" s="9">
        <v>476000</v>
      </c>
      <c r="D88" s="7" t="str">
        <f t="shared" si="3"/>
        <v/>
      </c>
      <c r="E88" s="28" t="str">
        <f t="shared" si="4"/>
        <v/>
      </c>
      <c r="F88" s="7" t="str">
        <f t="shared" si="5"/>
        <v/>
      </c>
    </row>
    <row r="89" spans="1:6" x14ac:dyDescent="0.15">
      <c r="A89" s="7" t="s">
        <v>13</v>
      </c>
      <c r="B89" t="s">
        <v>14</v>
      </c>
      <c r="C89" s="9">
        <v>477000</v>
      </c>
      <c r="D89" s="7" t="str">
        <f t="shared" si="3"/>
        <v/>
      </c>
      <c r="E89" s="28" t="str">
        <f t="shared" si="4"/>
        <v/>
      </c>
      <c r="F89" s="7" t="str">
        <f t="shared" si="5"/>
        <v/>
      </c>
    </row>
    <row r="90" spans="1:6" x14ac:dyDescent="0.15">
      <c r="A90" s="7" t="s">
        <v>34</v>
      </c>
      <c r="B90" t="s">
        <v>35</v>
      </c>
      <c r="C90" s="9">
        <v>556000</v>
      </c>
      <c r="D90" s="7" t="str">
        <f t="shared" si="3"/>
        <v/>
      </c>
      <c r="E90" s="28" t="str">
        <f t="shared" si="4"/>
        <v/>
      </c>
      <c r="F90" s="7" t="str">
        <f t="shared" si="5"/>
        <v/>
      </c>
    </row>
    <row r="91" spans="1:6" x14ac:dyDescent="0.15">
      <c r="A91" s="7" t="s">
        <v>193</v>
      </c>
      <c r="B91" t="s">
        <v>38</v>
      </c>
      <c r="C91" s="9">
        <v>695000</v>
      </c>
      <c r="D91" s="7" t="str">
        <f t="shared" si="3"/>
        <v/>
      </c>
      <c r="E91" s="28">
        <f t="shared" si="4"/>
        <v>152900</v>
      </c>
      <c r="F91" s="7" t="str">
        <f t="shared" si="5"/>
        <v/>
      </c>
    </row>
    <row r="92" spans="1:6" x14ac:dyDescent="0.15">
      <c r="A92" s="7" t="s">
        <v>15</v>
      </c>
      <c r="B92" t="s">
        <v>16</v>
      </c>
      <c r="C92" s="9">
        <v>1279000</v>
      </c>
      <c r="D92" s="7" t="str">
        <f t="shared" si="3"/>
        <v/>
      </c>
      <c r="E92" s="28" t="str">
        <f t="shared" si="4"/>
        <v/>
      </c>
      <c r="F92" s="7" t="str">
        <f t="shared" si="5"/>
        <v/>
      </c>
    </row>
    <row r="93" spans="1:6" x14ac:dyDescent="0.15">
      <c r="A93" s="7" t="s">
        <v>55</v>
      </c>
      <c r="B93" t="s">
        <v>35</v>
      </c>
      <c r="C93" s="9">
        <v>35000</v>
      </c>
      <c r="D93" s="7" t="str">
        <f t="shared" si="3"/>
        <v/>
      </c>
      <c r="E93" s="28" t="str">
        <f t="shared" si="4"/>
        <v/>
      </c>
      <c r="F93" s="7" t="str">
        <f t="shared" si="5"/>
        <v/>
      </c>
    </row>
    <row r="94" spans="1:6" x14ac:dyDescent="0.15">
      <c r="A94" s="7" t="s">
        <v>7</v>
      </c>
      <c r="B94" t="s">
        <v>8</v>
      </c>
      <c r="C94" s="9">
        <v>175000</v>
      </c>
      <c r="D94" s="7" t="str">
        <f t="shared" si="3"/>
        <v/>
      </c>
      <c r="E94" s="28" t="str">
        <f t="shared" si="4"/>
        <v/>
      </c>
      <c r="F94" s="7" t="str">
        <f t="shared" si="5"/>
        <v>VERO</v>
      </c>
    </row>
    <row r="95" spans="1:6" x14ac:dyDescent="0.15">
      <c r="A95" s="7" t="s">
        <v>62</v>
      </c>
      <c r="B95" t="s">
        <v>48</v>
      </c>
      <c r="C95" s="9">
        <v>272000</v>
      </c>
      <c r="D95" s="7" t="str">
        <f t="shared" si="3"/>
        <v/>
      </c>
      <c r="E95" s="28" t="str">
        <f t="shared" si="4"/>
        <v/>
      </c>
      <c r="F95" s="7" t="str">
        <f t="shared" si="5"/>
        <v/>
      </c>
    </row>
    <row r="96" spans="1:6" x14ac:dyDescent="0.15">
      <c r="A96" s="7" t="s">
        <v>67</v>
      </c>
      <c r="B96" t="s">
        <v>68</v>
      </c>
      <c r="C96" s="9">
        <v>198000</v>
      </c>
      <c r="D96" s="7" t="str">
        <f t="shared" si="3"/>
        <v/>
      </c>
      <c r="E96" s="28" t="str">
        <f t="shared" si="4"/>
        <v/>
      </c>
      <c r="F96" s="7" t="str">
        <f t="shared" si="5"/>
        <v/>
      </c>
    </row>
    <row r="97" spans="1:6" x14ac:dyDescent="0.15">
      <c r="A97" s="7" t="s">
        <v>44</v>
      </c>
      <c r="B97" t="s">
        <v>38</v>
      </c>
      <c r="C97" s="9">
        <v>290000</v>
      </c>
      <c r="D97" s="7" t="str">
        <f t="shared" si="3"/>
        <v/>
      </c>
      <c r="E97" s="28" t="str">
        <f t="shared" si="4"/>
        <v/>
      </c>
      <c r="F97" s="7" t="str">
        <f t="shared" si="5"/>
        <v/>
      </c>
    </row>
    <row r="98" spans="1:6" x14ac:dyDescent="0.15">
      <c r="A98" s="7" t="s">
        <v>11</v>
      </c>
      <c r="B98" t="s">
        <v>12</v>
      </c>
      <c r="C98" s="9">
        <v>589000</v>
      </c>
      <c r="D98" s="7" t="str">
        <f t="shared" si="3"/>
        <v/>
      </c>
      <c r="E98" s="28" t="str">
        <f t="shared" si="4"/>
        <v/>
      </c>
      <c r="F98" s="7" t="str">
        <f t="shared" si="5"/>
        <v/>
      </c>
    </row>
    <row r="99" spans="1:6" x14ac:dyDescent="0.15">
      <c r="A99" s="7" t="s">
        <v>17</v>
      </c>
      <c r="B99" t="s">
        <v>12</v>
      </c>
      <c r="C99" s="9">
        <v>743000</v>
      </c>
      <c r="D99" s="7" t="str">
        <f t="shared" si="3"/>
        <v/>
      </c>
      <c r="E99" s="28" t="str">
        <f t="shared" si="4"/>
        <v/>
      </c>
      <c r="F99" s="7" t="str">
        <f t="shared" si="5"/>
        <v/>
      </c>
    </row>
    <row r="100" spans="1:6" x14ac:dyDescent="0.15">
      <c r="A100" s="7" t="s">
        <v>52</v>
      </c>
      <c r="B100" t="s">
        <v>22</v>
      </c>
      <c r="C100" s="9">
        <v>271000</v>
      </c>
      <c r="D100" s="7" t="str">
        <f t="shared" si="3"/>
        <v/>
      </c>
      <c r="E100" s="28" t="str">
        <f t="shared" si="4"/>
        <v/>
      </c>
      <c r="F100" s="7" t="str">
        <f t="shared" si="5"/>
        <v/>
      </c>
    </row>
    <row r="101" spans="1:6" x14ac:dyDescent="0.15">
      <c r="A101" s="7" t="s">
        <v>31</v>
      </c>
      <c r="B101" t="s">
        <v>6</v>
      </c>
      <c r="C101" s="9">
        <v>632000</v>
      </c>
      <c r="D101" s="7" t="str">
        <f t="shared" si="3"/>
        <v>trovato</v>
      </c>
      <c r="E101" s="28" t="str">
        <f t="shared" si="4"/>
        <v/>
      </c>
      <c r="F101" s="7" t="str">
        <f t="shared" si="5"/>
        <v/>
      </c>
    </row>
    <row r="102" spans="1:6" x14ac:dyDescent="0.15">
      <c r="A102" s="7" t="s">
        <v>25</v>
      </c>
      <c r="B102" t="s">
        <v>26</v>
      </c>
      <c r="C102" s="9">
        <v>90000</v>
      </c>
      <c r="D102" s="7" t="str">
        <f t="shared" si="3"/>
        <v/>
      </c>
      <c r="E102" s="28" t="str">
        <f t="shared" si="4"/>
        <v/>
      </c>
      <c r="F102" s="7" t="str">
        <f t="shared" si="5"/>
        <v/>
      </c>
    </row>
    <row r="103" spans="1:6" x14ac:dyDescent="0.15">
      <c r="A103" s="7" t="s">
        <v>9</v>
      </c>
      <c r="B103" t="s">
        <v>10</v>
      </c>
      <c r="C103" s="9">
        <v>4000</v>
      </c>
      <c r="D103" s="7" t="str">
        <f t="shared" si="3"/>
        <v/>
      </c>
      <c r="E103" s="28" t="str">
        <f t="shared" si="4"/>
        <v/>
      </c>
      <c r="F103" s="7" t="str">
        <f t="shared" si="5"/>
        <v/>
      </c>
    </row>
    <row r="104" spans="1:6" x14ac:dyDescent="0.15">
      <c r="A104" s="7" t="s">
        <v>59</v>
      </c>
      <c r="B104" t="s">
        <v>38</v>
      </c>
      <c r="C104" s="9">
        <v>5000</v>
      </c>
      <c r="D104" s="7" t="str">
        <f t="shared" si="3"/>
        <v/>
      </c>
      <c r="E104" s="28" t="str">
        <f t="shared" si="4"/>
        <v/>
      </c>
      <c r="F104" s="7" t="str">
        <f t="shared" si="5"/>
        <v/>
      </c>
    </row>
    <row r="105" spans="1:6" x14ac:dyDescent="0.15">
      <c r="A105" s="7" t="s">
        <v>29</v>
      </c>
      <c r="B105" t="s">
        <v>30</v>
      </c>
      <c r="C105" s="9">
        <v>41000</v>
      </c>
      <c r="D105" s="7" t="str">
        <f t="shared" si="3"/>
        <v/>
      </c>
      <c r="E105" s="28" t="str">
        <f t="shared" si="4"/>
        <v/>
      </c>
      <c r="F105" s="7" t="str">
        <f t="shared" si="5"/>
        <v/>
      </c>
    </row>
    <row r="106" spans="1:6" x14ac:dyDescent="0.15">
      <c r="A106" s="7" t="s">
        <v>56</v>
      </c>
      <c r="B106" t="s">
        <v>30</v>
      </c>
      <c r="C106" s="10">
        <v>0</v>
      </c>
      <c r="D106" s="7" t="str">
        <f t="shared" si="3"/>
        <v/>
      </c>
      <c r="E106" s="28" t="str">
        <f t="shared" si="4"/>
        <v/>
      </c>
      <c r="F106" s="7" t="str">
        <f t="shared" si="5"/>
        <v/>
      </c>
    </row>
    <row r="107" spans="1:6" x14ac:dyDescent="0.15">
      <c r="A107" s="7" t="s">
        <v>31</v>
      </c>
      <c r="B107" t="s">
        <v>6</v>
      </c>
      <c r="C107" s="9">
        <v>737000</v>
      </c>
      <c r="D107" s="7" t="str">
        <f t="shared" si="3"/>
        <v>trovato</v>
      </c>
      <c r="E107" s="28" t="str">
        <f t="shared" si="4"/>
        <v/>
      </c>
      <c r="F107" s="7" t="str">
        <f t="shared" si="5"/>
        <v/>
      </c>
    </row>
    <row r="108" spans="1:6" x14ac:dyDescent="0.15">
      <c r="A108" s="7" t="s">
        <v>59</v>
      </c>
      <c r="B108" t="s">
        <v>38</v>
      </c>
      <c r="C108" s="9">
        <v>910000</v>
      </c>
      <c r="D108" s="7" t="str">
        <f t="shared" si="3"/>
        <v/>
      </c>
      <c r="E108" s="28" t="str">
        <f t="shared" si="4"/>
        <v/>
      </c>
      <c r="F108" s="7" t="str">
        <f t="shared" si="5"/>
        <v/>
      </c>
    </row>
    <row r="109" spans="1:6" x14ac:dyDescent="0.15">
      <c r="A109" s="7" t="s">
        <v>56</v>
      </c>
      <c r="B109" t="s">
        <v>30</v>
      </c>
      <c r="C109" s="9">
        <v>241000</v>
      </c>
      <c r="D109" s="7" t="str">
        <f t="shared" si="3"/>
        <v/>
      </c>
      <c r="E109" s="28" t="str">
        <f t="shared" si="4"/>
        <v/>
      </c>
      <c r="F109" s="7" t="str">
        <f t="shared" si="5"/>
        <v/>
      </c>
    </row>
    <row r="110" spans="1:6" x14ac:dyDescent="0.15">
      <c r="A110" s="7" t="s">
        <v>56</v>
      </c>
      <c r="B110" t="s">
        <v>30</v>
      </c>
      <c r="C110" s="10">
        <v>0</v>
      </c>
      <c r="D110" s="7" t="str">
        <f t="shared" si="3"/>
        <v/>
      </c>
      <c r="E110" s="28" t="str">
        <f t="shared" si="4"/>
        <v/>
      </c>
      <c r="F110" s="7" t="str">
        <f t="shared" si="5"/>
        <v/>
      </c>
    </row>
    <row r="111" spans="1:6" x14ac:dyDescent="0.15">
      <c r="A111" s="7" t="s">
        <v>5</v>
      </c>
      <c r="B111" t="s">
        <v>6</v>
      </c>
      <c r="C111" s="9">
        <v>112000</v>
      </c>
      <c r="D111" s="7" t="str">
        <f t="shared" si="3"/>
        <v/>
      </c>
      <c r="E111" s="28" t="str">
        <f t="shared" si="4"/>
        <v/>
      </c>
      <c r="F111" s="7" t="str">
        <f t="shared" si="5"/>
        <v/>
      </c>
    </row>
    <row r="112" spans="1:6" x14ac:dyDescent="0.15">
      <c r="A112" s="7" t="s">
        <v>47</v>
      </c>
      <c r="B112" t="s">
        <v>48</v>
      </c>
      <c r="C112" s="9">
        <v>113000</v>
      </c>
      <c r="D112" s="7" t="str">
        <f t="shared" si="3"/>
        <v/>
      </c>
      <c r="E112" s="28" t="str">
        <f t="shared" si="4"/>
        <v/>
      </c>
      <c r="F112" s="7" t="str">
        <f t="shared" si="5"/>
        <v/>
      </c>
    </row>
    <row r="113" spans="1:6" x14ac:dyDescent="0.15">
      <c r="A113" s="7" t="s">
        <v>39</v>
      </c>
      <c r="B113" t="s">
        <v>40</v>
      </c>
      <c r="C113" s="9">
        <v>121000</v>
      </c>
      <c r="D113" s="7" t="str">
        <f t="shared" si="3"/>
        <v/>
      </c>
      <c r="E113" s="28" t="str">
        <f t="shared" si="4"/>
        <v/>
      </c>
      <c r="F113" s="7" t="str">
        <f t="shared" si="5"/>
        <v/>
      </c>
    </row>
    <row r="114" spans="1:6" x14ac:dyDescent="0.15">
      <c r="A114" s="7" t="s">
        <v>36</v>
      </c>
      <c r="B114" t="s">
        <v>30</v>
      </c>
      <c r="C114" s="9">
        <v>160000</v>
      </c>
      <c r="D114" s="7" t="str">
        <f t="shared" si="3"/>
        <v/>
      </c>
      <c r="E114" s="28" t="str">
        <f t="shared" si="4"/>
        <v/>
      </c>
      <c r="F114" s="7" t="str">
        <f t="shared" si="5"/>
        <v/>
      </c>
    </row>
    <row r="115" spans="1:6" x14ac:dyDescent="0.15">
      <c r="A115" s="7" t="s">
        <v>49</v>
      </c>
      <c r="B115" t="s">
        <v>30</v>
      </c>
      <c r="C115" s="9">
        <v>195000</v>
      </c>
      <c r="D115" s="7" t="str">
        <f t="shared" si="3"/>
        <v/>
      </c>
      <c r="E115" s="28" t="str">
        <f t="shared" si="4"/>
        <v/>
      </c>
      <c r="F115" s="7" t="str">
        <f t="shared" si="5"/>
        <v/>
      </c>
    </row>
    <row r="116" spans="1:6" x14ac:dyDescent="0.15">
      <c r="A116" s="7" t="s">
        <v>20</v>
      </c>
      <c r="B116" t="s">
        <v>10</v>
      </c>
      <c r="C116" s="9">
        <v>215000</v>
      </c>
      <c r="D116" s="7" t="str">
        <f t="shared" si="3"/>
        <v/>
      </c>
      <c r="E116" s="28" t="str">
        <f t="shared" si="4"/>
        <v/>
      </c>
      <c r="F116" s="7" t="str">
        <f t="shared" si="5"/>
        <v/>
      </c>
    </row>
    <row r="117" spans="1:6" x14ac:dyDescent="0.15">
      <c r="A117" s="7" t="s">
        <v>18</v>
      </c>
      <c r="B117" t="s">
        <v>19</v>
      </c>
      <c r="C117" s="9">
        <v>321000</v>
      </c>
      <c r="D117" s="7" t="str">
        <f t="shared" si="3"/>
        <v/>
      </c>
      <c r="E117" s="28" t="str">
        <f t="shared" si="4"/>
        <v/>
      </c>
      <c r="F117" s="7" t="str">
        <f t="shared" si="5"/>
        <v/>
      </c>
    </row>
    <row r="118" spans="1:6" x14ac:dyDescent="0.15">
      <c r="A118" s="7" t="s">
        <v>46</v>
      </c>
      <c r="B118" t="s">
        <v>30</v>
      </c>
      <c r="C118" s="9">
        <v>614000</v>
      </c>
      <c r="D118" s="7" t="str">
        <f t="shared" si="3"/>
        <v/>
      </c>
      <c r="E118" s="28" t="str">
        <f t="shared" si="4"/>
        <v/>
      </c>
      <c r="F118" s="7" t="str">
        <f t="shared" si="5"/>
        <v/>
      </c>
    </row>
    <row r="119" spans="1:6" x14ac:dyDescent="0.15">
      <c r="A119" s="7" t="s">
        <v>67</v>
      </c>
      <c r="B119" t="s">
        <v>68</v>
      </c>
      <c r="C119" s="10">
        <v>0</v>
      </c>
      <c r="D119" s="7" t="str">
        <f t="shared" si="3"/>
        <v/>
      </c>
      <c r="E119" s="28" t="str">
        <f t="shared" si="4"/>
        <v/>
      </c>
      <c r="F119" s="7" t="str">
        <f t="shared" si="5"/>
        <v/>
      </c>
    </row>
    <row r="120" spans="1:6" x14ac:dyDescent="0.15">
      <c r="A120" s="7" t="s">
        <v>21</v>
      </c>
      <c r="B120" t="s">
        <v>22</v>
      </c>
      <c r="C120" s="9">
        <v>30000</v>
      </c>
      <c r="D120" s="7" t="str">
        <f t="shared" si="3"/>
        <v/>
      </c>
      <c r="E120" s="28" t="str">
        <f t="shared" si="4"/>
        <v/>
      </c>
      <c r="F120" s="7" t="str">
        <f t="shared" si="5"/>
        <v/>
      </c>
    </row>
    <row r="121" spans="1:6" x14ac:dyDescent="0.15">
      <c r="A121" s="7" t="s">
        <v>61</v>
      </c>
      <c r="B121" t="s">
        <v>24</v>
      </c>
      <c r="C121" s="9">
        <v>34000</v>
      </c>
      <c r="D121" s="7" t="str">
        <f t="shared" si="3"/>
        <v/>
      </c>
      <c r="E121" s="28" t="str">
        <f t="shared" si="4"/>
        <v/>
      </c>
      <c r="F121" s="7" t="str">
        <f t="shared" si="5"/>
        <v/>
      </c>
    </row>
    <row r="122" spans="1:6" x14ac:dyDescent="0.15">
      <c r="A122" s="7" t="s">
        <v>42</v>
      </c>
      <c r="B122" t="s">
        <v>43</v>
      </c>
      <c r="C122" s="9">
        <v>35000</v>
      </c>
      <c r="D122" s="7" t="str">
        <f t="shared" si="3"/>
        <v/>
      </c>
      <c r="E122" s="28" t="str">
        <f t="shared" si="4"/>
        <v/>
      </c>
      <c r="F122" s="7" t="str">
        <f t="shared" si="5"/>
        <v/>
      </c>
    </row>
    <row r="123" spans="1:6" x14ac:dyDescent="0.15">
      <c r="A123" s="7" t="s">
        <v>44</v>
      </c>
      <c r="B123" t="s">
        <v>38</v>
      </c>
      <c r="C123" s="9">
        <v>77000</v>
      </c>
      <c r="D123" s="7" t="str">
        <f t="shared" si="3"/>
        <v/>
      </c>
      <c r="E123" s="28" t="str">
        <f t="shared" si="4"/>
        <v/>
      </c>
      <c r="F123" s="7" t="str">
        <f t="shared" si="5"/>
        <v/>
      </c>
    </row>
    <row r="124" spans="1:6" x14ac:dyDescent="0.15">
      <c r="A124" s="7" t="s">
        <v>189</v>
      </c>
      <c r="B124" t="s">
        <v>58</v>
      </c>
      <c r="C124" s="9">
        <v>723000</v>
      </c>
      <c r="D124" s="7" t="str">
        <f t="shared" si="3"/>
        <v/>
      </c>
      <c r="E124" s="28" t="str">
        <f t="shared" si="4"/>
        <v/>
      </c>
      <c r="F124" s="7" t="str">
        <f t="shared" si="5"/>
        <v/>
      </c>
    </row>
    <row r="125" spans="1:6" x14ac:dyDescent="0.15">
      <c r="A125" s="7" t="s">
        <v>33</v>
      </c>
      <c r="B125" t="s">
        <v>6</v>
      </c>
      <c r="C125" s="9">
        <v>742000</v>
      </c>
      <c r="D125" s="7" t="str">
        <f t="shared" si="3"/>
        <v>trovato</v>
      </c>
      <c r="E125" s="28" t="str">
        <f t="shared" si="4"/>
        <v/>
      </c>
      <c r="F125" s="7" t="str">
        <f t="shared" si="5"/>
        <v/>
      </c>
    </row>
    <row r="126" spans="1:6" x14ac:dyDescent="0.15">
      <c r="A126" s="7" t="s">
        <v>20</v>
      </c>
      <c r="B126" t="s">
        <v>10</v>
      </c>
      <c r="C126" s="9">
        <v>778000</v>
      </c>
      <c r="D126" s="7" t="str">
        <f t="shared" si="3"/>
        <v/>
      </c>
      <c r="E126" s="28" t="str">
        <f t="shared" si="4"/>
        <v/>
      </c>
      <c r="F126" s="7" t="str">
        <f t="shared" si="5"/>
        <v/>
      </c>
    </row>
    <row r="127" spans="1:6" x14ac:dyDescent="0.15">
      <c r="A127" s="7" t="s">
        <v>45</v>
      </c>
      <c r="B127" t="s">
        <v>10</v>
      </c>
      <c r="C127" s="9">
        <v>878000</v>
      </c>
      <c r="D127" s="7" t="str">
        <f t="shared" si="3"/>
        <v/>
      </c>
      <c r="E127" s="28" t="str">
        <f t="shared" si="4"/>
        <v/>
      </c>
      <c r="F127" s="7" t="str">
        <f t="shared" si="5"/>
        <v/>
      </c>
    </row>
    <row r="128" spans="1:6" x14ac:dyDescent="0.15">
      <c r="A128" s="7" t="s">
        <v>50</v>
      </c>
      <c r="B128" t="s">
        <v>51</v>
      </c>
      <c r="C128" s="9">
        <v>883000</v>
      </c>
      <c r="D128" s="7" t="str">
        <f t="shared" si="3"/>
        <v/>
      </c>
      <c r="E128" s="28" t="str">
        <f t="shared" si="4"/>
        <v/>
      </c>
      <c r="F128" s="7" t="str">
        <f t="shared" si="5"/>
        <v/>
      </c>
    </row>
    <row r="129" spans="1:6" x14ac:dyDescent="0.15">
      <c r="A129" s="7" t="s">
        <v>21</v>
      </c>
      <c r="B129" t="s">
        <v>22</v>
      </c>
      <c r="C129" s="9">
        <v>913000</v>
      </c>
      <c r="D129" s="7" t="str">
        <f t="shared" si="3"/>
        <v/>
      </c>
      <c r="E129" s="28" t="str">
        <f t="shared" si="4"/>
        <v/>
      </c>
      <c r="F129" s="7" t="str">
        <f t="shared" si="5"/>
        <v/>
      </c>
    </row>
    <row r="130" spans="1:6" x14ac:dyDescent="0.15">
      <c r="A130" s="7" t="s">
        <v>60</v>
      </c>
      <c r="B130" t="s">
        <v>38</v>
      </c>
      <c r="C130" s="9">
        <v>1125000</v>
      </c>
      <c r="D130" s="7" t="str">
        <f t="shared" si="3"/>
        <v/>
      </c>
      <c r="E130" s="28" t="str">
        <f t="shared" si="4"/>
        <v/>
      </c>
      <c r="F130" s="7" t="str">
        <f t="shared" si="5"/>
        <v/>
      </c>
    </row>
    <row r="131" spans="1:6" x14ac:dyDescent="0.15">
      <c r="A131" s="7" t="s">
        <v>69</v>
      </c>
      <c r="B131" t="s">
        <v>51</v>
      </c>
      <c r="C131" s="10">
        <v>0</v>
      </c>
      <c r="D131" s="7" t="str">
        <f t="shared" si="3"/>
        <v/>
      </c>
      <c r="E131" s="28" t="str">
        <f t="shared" si="4"/>
        <v/>
      </c>
      <c r="F131" s="7" t="str">
        <f t="shared" si="5"/>
        <v/>
      </c>
    </row>
    <row r="132" spans="1:6" x14ac:dyDescent="0.15">
      <c r="A132" s="7" t="s">
        <v>69</v>
      </c>
      <c r="B132" t="s">
        <v>51</v>
      </c>
      <c r="C132" s="9">
        <v>33000</v>
      </c>
      <c r="D132" s="7" t="str">
        <f t="shared" si="3"/>
        <v/>
      </c>
      <c r="E132" s="28" t="str">
        <f t="shared" si="4"/>
        <v/>
      </c>
      <c r="F132" s="7" t="str">
        <f t="shared" si="5"/>
        <v/>
      </c>
    </row>
    <row r="133" spans="1:6" x14ac:dyDescent="0.15">
      <c r="A133" s="7" t="s">
        <v>57</v>
      </c>
      <c r="B133" t="s">
        <v>58</v>
      </c>
      <c r="C133" s="9">
        <v>52000</v>
      </c>
      <c r="D133" s="7" t="str">
        <f t="shared" si="3"/>
        <v/>
      </c>
      <c r="E133" s="28" t="str">
        <f t="shared" si="4"/>
        <v/>
      </c>
      <c r="F133" s="7" t="str">
        <f t="shared" si="5"/>
        <v/>
      </c>
    </row>
    <row r="134" spans="1:6" x14ac:dyDescent="0.15">
      <c r="A134" s="7" t="s">
        <v>53</v>
      </c>
      <c r="B134" t="s">
        <v>54</v>
      </c>
      <c r="C134" s="9">
        <v>97000</v>
      </c>
      <c r="D134" s="7" t="str">
        <f t="shared" ref="D134:D197" si="6">IF(AND(B134="abbigliamento",C134&gt;300000),"trovato","")</f>
        <v/>
      </c>
      <c r="E134" s="28" t="str">
        <f t="shared" si="4"/>
        <v/>
      </c>
      <c r="F134" s="7" t="str">
        <f t="shared" si="5"/>
        <v/>
      </c>
    </row>
    <row r="135" spans="1:6" x14ac:dyDescent="0.15">
      <c r="A135" s="7" t="s">
        <v>5</v>
      </c>
      <c r="B135" t="s">
        <v>6</v>
      </c>
      <c r="C135" s="10">
        <v>0</v>
      </c>
      <c r="D135" s="7" t="str">
        <f t="shared" si="6"/>
        <v/>
      </c>
      <c r="E135" s="28" t="str">
        <f t="shared" si="4"/>
        <v/>
      </c>
      <c r="F135" s="7" t="str">
        <f t="shared" si="5"/>
        <v/>
      </c>
    </row>
    <row r="136" spans="1:6" x14ac:dyDescent="0.15">
      <c r="A136" s="7" t="s">
        <v>31</v>
      </c>
      <c r="B136" t="s">
        <v>6</v>
      </c>
      <c r="C136" s="9">
        <v>131000</v>
      </c>
      <c r="D136" s="7" t="str">
        <f t="shared" si="6"/>
        <v/>
      </c>
      <c r="E136" s="28" t="str">
        <f t="shared" ref="E136:E199" si="7">IF(A136="HHB",C136*(22/100),"")</f>
        <v/>
      </c>
      <c r="F136" s="7" t="str">
        <f t="shared" si="5"/>
        <v/>
      </c>
    </row>
    <row r="137" spans="1:6" x14ac:dyDescent="0.15">
      <c r="A137" s="7" t="s">
        <v>31</v>
      </c>
      <c r="B137" t="s">
        <v>6</v>
      </c>
      <c r="C137" s="9">
        <v>169000</v>
      </c>
      <c r="D137" s="7" t="str">
        <f t="shared" si="6"/>
        <v/>
      </c>
      <c r="E137" s="28" t="str">
        <f t="shared" si="7"/>
        <v/>
      </c>
      <c r="F137" s="7" t="str">
        <f t="shared" si="5"/>
        <v/>
      </c>
    </row>
    <row r="138" spans="1:6" x14ac:dyDescent="0.15">
      <c r="A138" s="7" t="s">
        <v>47</v>
      </c>
      <c r="B138" t="s">
        <v>48</v>
      </c>
      <c r="C138" s="9">
        <v>190000</v>
      </c>
      <c r="D138" s="7" t="str">
        <f t="shared" si="6"/>
        <v/>
      </c>
      <c r="E138" s="28" t="str">
        <f t="shared" si="7"/>
        <v/>
      </c>
      <c r="F138" s="7" t="str">
        <f t="shared" si="5"/>
        <v/>
      </c>
    </row>
    <row r="139" spans="1:6" x14ac:dyDescent="0.15">
      <c r="A139" s="7" t="s">
        <v>25</v>
      </c>
      <c r="B139" t="s">
        <v>26</v>
      </c>
      <c r="C139" s="9">
        <v>191000</v>
      </c>
      <c r="D139" s="7" t="str">
        <f t="shared" si="6"/>
        <v/>
      </c>
      <c r="E139" s="28" t="str">
        <f t="shared" si="7"/>
        <v/>
      </c>
      <c r="F139" s="7" t="str">
        <f t="shared" si="5"/>
        <v/>
      </c>
    </row>
    <row r="140" spans="1:6" x14ac:dyDescent="0.15">
      <c r="A140" s="7" t="s">
        <v>65</v>
      </c>
      <c r="B140" t="s">
        <v>64</v>
      </c>
      <c r="C140" s="9">
        <v>197000</v>
      </c>
      <c r="D140" s="7" t="str">
        <f t="shared" si="6"/>
        <v/>
      </c>
      <c r="E140" s="28" t="str">
        <f t="shared" si="7"/>
        <v/>
      </c>
      <c r="F140" s="7" t="str">
        <f t="shared" si="5"/>
        <v/>
      </c>
    </row>
    <row r="141" spans="1:6" x14ac:dyDescent="0.15">
      <c r="A141" s="7" t="s">
        <v>66</v>
      </c>
      <c r="B141" t="s">
        <v>51</v>
      </c>
      <c r="C141" s="9">
        <v>201000</v>
      </c>
      <c r="D141" s="7" t="str">
        <f t="shared" si="6"/>
        <v/>
      </c>
      <c r="E141" s="28" t="str">
        <f t="shared" si="7"/>
        <v/>
      </c>
      <c r="F141" s="7" t="str">
        <f t="shared" si="5"/>
        <v/>
      </c>
    </row>
    <row r="142" spans="1:6" x14ac:dyDescent="0.15">
      <c r="A142" s="7" t="s">
        <v>33</v>
      </c>
      <c r="B142" t="s">
        <v>6</v>
      </c>
      <c r="C142" s="9">
        <v>220000</v>
      </c>
      <c r="D142" s="7" t="str">
        <f t="shared" si="6"/>
        <v/>
      </c>
      <c r="E142" s="28" t="str">
        <f t="shared" si="7"/>
        <v/>
      </c>
      <c r="F142" s="7" t="str">
        <f t="shared" si="5"/>
        <v/>
      </c>
    </row>
    <row r="143" spans="1:6" x14ac:dyDescent="0.15">
      <c r="A143" s="7" t="s">
        <v>9</v>
      </c>
      <c r="B143" t="s">
        <v>10</v>
      </c>
      <c r="C143" s="9">
        <v>250000</v>
      </c>
      <c r="D143" s="7" t="str">
        <f t="shared" si="6"/>
        <v/>
      </c>
      <c r="E143" s="28" t="str">
        <f t="shared" si="7"/>
        <v/>
      </c>
      <c r="F143" s="7" t="str">
        <f t="shared" si="5"/>
        <v/>
      </c>
    </row>
    <row r="144" spans="1:6" x14ac:dyDescent="0.15">
      <c r="A144" s="7" t="s">
        <v>65</v>
      </c>
      <c r="B144" t="s">
        <v>64</v>
      </c>
      <c r="C144" s="9">
        <v>257000</v>
      </c>
      <c r="D144" s="7" t="str">
        <f t="shared" si="6"/>
        <v/>
      </c>
      <c r="E144" s="28" t="str">
        <f t="shared" si="7"/>
        <v/>
      </c>
      <c r="F144" s="7" t="str">
        <f t="shared" ref="F144:F207" si="8">IF(AND(B144="manuali",C144&lt;1000000),"VERO","")</f>
        <v/>
      </c>
    </row>
    <row r="145" spans="1:6" x14ac:dyDescent="0.15">
      <c r="A145" s="7" t="s">
        <v>9</v>
      </c>
      <c r="B145" t="s">
        <v>10</v>
      </c>
      <c r="C145" s="9">
        <v>278000</v>
      </c>
      <c r="D145" s="7" t="str">
        <f t="shared" si="6"/>
        <v/>
      </c>
      <c r="E145" s="28" t="str">
        <f t="shared" si="7"/>
        <v/>
      </c>
      <c r="F145" s="7" t="str">
        <f t="shared" si="8"/>
        <v/>
      </c>
    </row>
    <row r="146" spans="1:6" x14ac:dyDescent="0.15">
      <c r="A146" s="7" t="s">
        <v>70</v>
      </c>
      <c r="B146" t="s">
        <v>58</v>
      </c>
      <c r="C146" s="9">
        <v>280000</v>
      </c>
      <c r="D146" s="7" t="str">
        <f t="shared" si="6"/>
        <v/>
      </c>
      <c r="E146" s="28" t="str">
        <f t="shared" si="7"/>
        <v/>
      </c>
      <c r="F146" s="7" t="str">
        <f t="shared" si="8"/>
        <v/>
      </c>
    </row>
    <row r="147" spans="1:6" x14ac:dyDescent="0.15">
      <c r="A147" s="7" t="s">
        <v>70</v>
      </c>
      <c r="B147" t="s">
        <v>58</v>
      </c>
      <c r="C147" s="9">
        <v>300000</v>
      </c>
      <c r="D147" s="7" t="str">
        <f t="shared" si="6"/>
        <v/>
      </c>
      <c r="E147" s="28" t="str">
        <f t="shared" si="7"/>
        <v/>
      </c>
      <c r="F147" s="7" t="str">
        <f t="shared" si="8"/>
        <v/>
      </c>
    </row>
    <row r="148" spans="1:6" x14ac:dyDescent="0.15">
      <c r="A148" s="7" t="s">
        <v>73</v>
      </c>
      <c r="B148" t="s">
        <v>64</v>
      </c>
      <c r="C148" s="9">
        <v>305000</v>
      </c>
      <c r="D148" s="7" t="str">
        <f t="shared" si="6"/>
        <v/>
      </c>
      <c r="E148" s="28" t="str">
        <f t="shared" si="7"/>
        <v/>
      </c>
      <c r="F148" s="7" t="str">
        <f t="shared" si="8"/>
        <v/>
      </c>
    </row>
    <row r="149" spans="1:6" x14ac:dyDescent="0.15">
      <c r="A149" s="7" t="s">
        <v>71</v>
      </c>
      <c r="B149" t="s">
        <v>72</v>
      </c>
      <c r="C149" s="9">
        <v>335000</v>
      </c>
      <c r="D149" s="7" t="str">
        <f t="shared" si="6"/>
        <v/>
      </c>
      <c r="E149" s="28" t="str">
        <f t="shared" si="7"/>
        <v/>
      </c>
      <c r="F149" s="7" t="str">
        <f t="shared" si="8"/>
        <v/>
      </c>
    </row>
    <row r="150" spans="1:6" x14ac:dyDescent="0.15">
      <c r="A150" s="7" t="s">
        <v>27</v>
      </c>
      <c r="B150" t="s">
        <v>28</v>
      </c>
      <c r="C150" s="9">
        <v>360000</v>
      </c>
      <c r="D150" s="7" t="str">
        <f t="shared" si="6"/>
        <v/>
      </c>
      <c r="E150" s="28" t="str">
        <f t="shared" si="7"/>
        <v/>
      </c>
      <c r="F150" s="7" t="str">
        <f t="shared" si="8"/>
        <v/>
      </c>
    </row>
    <row r="151" spans="1:6" x14ac:dyDescent="0.15">
      <c r="A151" s="7" t="s">
        <v>37</v>
      </c>
      <c r="B151" t="s">
        <v>38</v>
      </c>
      <c r="C151" s="9">
        <v>429000</v>
      </c>
      <c r="D151" s="7" t="str">
        <f t="shared" si="6"/>
        <v/>
      </c>
      <c r="E151" s="28" t="str">
        <f t="shared" si="7"/>
        <v/>
      </c>
      <c r="F151" s="7" t="str">
        <f t="shared" si="8"/>
        <v/>
      </c>
    </row>
    <row r="152" spans="1:6" ht="12.75" customHeight="1" x14ac:dyDescent="0.15">
      <c r="A152" s="7" t="s">
        <v>60</v>
      </c>
      <c r="B152" t="s">
        <v>38</v>
      </c>
      <c r="C152" s="9">
        <v>701000</v>
      </c>
      <c r="D152" s="7" t="str">
        <f t="shared" si="6"/>
        <v/>
      </c>
      <c r="E152" s="28" t="str">
        <f t="shared" si="7"/>
        <v/>
      </c>
      <c r="F152" s="7" t="str">
        <f t="shared" si="8"/>
        <v/>
      </c>
    </row>
    <row r="153" spans="1:6" ht="14.25" customHeight="1" x14ac:dyDescent="0.15">
      <c r="A153" s="7" t="s">
        <v>23</v>
      </c>
      <c r="B153" t="s">
        <v>24</v>
      </c>
      <c r="C153" s="10"/>
      <c r="D153" s="7" t="str">
        <f t="shared" si="6"/>
        <v/>
      </c>
      <c r="E153" s="28" t="str">
        <f t="shared" si="7"/>
        <v/>
      </c>
      <c r="F153" s="7" t="str">
        <f t="shared" si="8"/>
        <v/>
      </c>
    </row>
    <row r="154" spans="1:6" x14ac:dyDescent="0.15">
      <c r="A154" s="7" t="s">
        <v>71</v>
      </c>
      <c r="B154" t="s">
        <v>72</v>
      </c>
      <c r="C154" s="9">
        <v>90000</v>
      </c>
      <c r="D154" s="7" t="str">
        <f t="shared" si="6"/>
        <v/>
      </c>
      <c r="E154" s="28" t="str">
        <f t="shared" si="7"/>
        <v/>
      </c>
      <c r="F154" s="7" t="str">
        <f t="shared" si="8"/>
        <v/>
      </c>
    </row>
    <row r="155" spans="1:6" x14ac:dyDescent="0.15">
      <c r="A155" s="7" t="s">
        <v>25</v>
      </c>
      <c r="B155" t="s">
        <v>26</v>
      </c>
      <c r="C155" s="9">
        <v>69000</v>
      </c>
      <c r="D155" s="7" t="str">
        <f t="shared" si="6"/>
        <v/>
      </c>
      <c r="E155" s="28" t="str">
        <f t="shared" si="7"/>
        <v/>
      </c>
      <c r="F155" s="7" t="str">
        <f t="shared" si="8"/>
        <v/>
      </c>
    </row>
    <row r="156" spans="1:6" x14ac:dyDescent="0.15">
      <c r="A156" s="7" t="s">
        <v>73</v>
      </c>
      <c r="B156" t="s">
        <v>64</v>
      </c>
      <c r="C156" s="9">
        <v>89000</v>
      </c>
      <c r="D156" s="7" t="str">
        <f t="shared" si="6"/>
        <v/>
      </c>
      <c r="E156" s="28" t="str">
        <f t="shared" si="7"/>
        <v/>
      </c>
      <c r="F156" s="7" t="str">
        <f t="shared" si="8"/>
        <v/>
      </c>
    </row>
    <row r="157" spans="1:6" x14ac:dyDescent="0.15">
      <c r="A157" s="7" t="s">
        <v>62</v>
      </c>
      <c r="B157" t="s">
        <v>28</v>
      </c>
      <c r="C157" s="9">
        <v>138000</v>
      </c>
      <c r="D157" s="7" t="str">
        <f t="shared" si="6"/>
        <v/>
      </c>
      <c r="E157" s="28" t="str">
        <f t="shared" si="7"/>
        <v/>
      </c>
      <c r="F157" s="7" t="str">
        <f t="shared" si="8"/>
        <v/>
      </c>
    </row>
    <row r="158" spans="1:6" x14ac:dyDescent="0.15">
      <c r="A158" s="7" t="s">
        <v>33</v>
      </c>
      <c r="B158" t="s">
        <v>6</v>
      </c>
      <c r="C158" s="9">
        <v>196000</v>
      </c>
      <c r="D158" s="7" t="str">
        <f t="shared" si="6"/>
        <v/>
      </c>
      <c r="E158" s="28" t="str">
        <f t="shared" si="7"/>
        <v/>
      </c>
      <c r="F158" s="7" t="str">
        <f t="shared" si="8"/>
        <v/>
      </c>
    </row>
    <row r="159" spans="1:6" x14ac:dyDescent="0.15">
      <c r="A159" s="7" t="s">
        <v>32</v>
      </c>
      <c r="B159" t="s">
        <v>22</v>
      </c>
      <c r="C159" s="9">
        <v>329000</v>
      </c>
      <c r="D159" s="7" t="str">
        <f t="shared" si="6"/>
        <v/>
      </c>
      <c r="E159" s="28" t="str">
        <f t="shared" si="7"/>
        <v/>
      </c>
      <c r="F159" s="7" t="str">
        <f t="shared" si="8"/>
        <v/>
      </c>
    </row>
    <row r="160" spans="1:6" x14ac:dyDescent="0.15">
      <c r="A160" s="7" t="s">
        <v>74</v>
      </c>
      <c r="B160" t="s">
        <v>38</v>
      </c>
      <c r="C160" s="9">
        <v>295000</v>
      </c>
      <c r="D160" s="7" t="str">
        <f t="shared" si="6"/>
        <v/>
      </c>
      <c r="E160" s="28" t="str">
        <f t="shared" si="7"/>
        <v/>
      </c>
      <c r="F160" s="7" t="str">
        <f t="shared" si="8"/>
        <v/>
      </c>
    </row>
    <row r="161" spans="1:6" x14ac:dyDescent="0.15">
      <c r="A161" s="7" t="s">
        <v>74</v>
      </c>
      <c r="B161" t="s">
        <v>38</v>
      </c>
      <c r="C161" s="9">
        <v>19000</v>
      </c>
      <c r="D161" s="7" t="str">
        <f t="shared" si="6"/>
        <v/>
      </c>
      <c r="E161" s="28" t="str">
        <f t="shared" si="7"/>
        <v/>
      </c>
      <c r="F161" s="7" t="str">
        <f t="shared" si="8"/>
        <v/>
      </c>
    </row>
    <row r="162" spans="1:6" x14ac:dyDescent="0.15">
      <c r="A162" s="7" t="s">
        <v>63</v>
      </c>
      <c r="B162" t="s">
        <v>64</v>
      </c>
      <c r="C162" s="9">
        <v>26000</v>
      </c>
      <c r="D162" s="7" t="str">
        <f t="shared" si="6"/>
        <v/>
      </c>
      <c r="E162" s="28" t="str">
        <f t="shared" si="7"/>
        <v/>
      </c>
      <c r="F162" s="7" t="str">
        <f t="shared" si="8"/>
        <v/>
      </c>
    </row>
    <row r="163" spans="1:6" x14ac:dyDescent="0.15">
      <c r="A163" s="7" t="s">
        <v>61</v>
      </c>
      <c r="B163" t="s">
        <v>6</v>
      </c>
      <c r="C163" s="9">
        <v>28000</v>
      </c>
      <c r="D163" s="7" t="str">
        <f t="shared" si="6"/>
        <v/>
      </c>
      <c r="E163" s="28" t="str">
        <f t="shared" si="7"/>
        <v/>
      </c>
      <c r="F163" s="7" t="str">
        <f t="shared" si="8"/>
        <v/>
      </c>
    </row>
    <row r="164" spans="1:6" x14ac:dyDescent="0.15">
      <c r="A164" s="7" t="s">
        <v>41</v>
      </c>
      <c r="B164" t="s">
        <v>6</v>
      </c>
      <c r="C164" s="9">
        <v>56000</v>
      </c>
      <c r="D164" s="7" t="str">
        <f t="shared" si="6"/>
        <v/>
      </c>
      <c r="E164" s="28" t="str">
        <f t="shared" si="7"/>
        <v/>
      </c>
      <c r="F164" s="7" t="str">
        <f t="shared" si="8"/>
        <v/>
      </c>
    </row>
    <row r="165" spans="1:6" x14ac:dyDescent="0.15">
      <c r="A165" s="7" t="s">
        <v>193</v>
      </c>
      <c r="B165" t="s">
        <v>38</v>
      </c>
      <c r="C165" s="10">
        <v>0</v>
      </c>
      <c r="D165" s="7" t="str">
        <f t="shared" si="6"/>
        <v/>
      </c>
      <c r="E165" s="28">
        <f t="shared" si="7"/>
        <v>0</v>
      </c>
      <c r="F165" s="7" t="str">
        <f t="shared" si="8"/>
        <v/>
      </c>
    </row>
    <row r="166" spans="1:6" x14ac:dyDescent="0.15">
      <c r="A166" s="7" t="s">
        <v>62</v>
      </c>
      <c r="B166" t="s">
        <v>28</v>
      </c>
      <c r="C166" s="9">
        <v>216000</v>
      </c>
      <c r="D166" s="7" t="str">
        <f t="shared" si="6"/>
        <v/>
      </c>
      <c r="E166" s="28" t="str">
        <f t="shared" si="7"/>
        <v/>
      </c>
      <c r="F166" s="7" t="str">
        <f t="shared" si="8"/>
        <v/>
      </c>
    </row>
    <row r="167" spans="1:6" x14ac:dyDescent="0.15">
      <c r="A167" s="7" t="s">
        <v>25</v>
      </c>
      <c r="B167" t="s">
        <v>26</v>
      </c>
      <c r="C167" s="9">
        <v>250000</v>
      </c>
      <c r="D167" s="7" t="str">
        <f t="shared" si="6"/>
        <v/>
      </c>
      <c r="E167" s="28" t="str">
        <f t="shared" si="7"/>
        <v/>
      </c>
      <c r="F167" s="7" t="str">
        <f t="shared" si="8"/>
        <v/>
      </c>
    </row>
    <row r="168" spans="1:6" x14ac:dyDescent="0.15">
      <c r="A168" s="7" t="s">
        <v>13</v>
      </c>
      <c r="B168" t="s">
        <v>14</v>
      </c>
      <c r="C168" s="9">
        <v>382000</v>
      </c>
      <c r="D168" s="7" t="str">
        <f t="shared" si="6"/>
        <v/>
      </c>
      <c r="E168" s="28" t="str">
        <f t="shared" si="7"/>
        <v/>
      </c>
      <c r="F168" s="7" t="str">
        <f t="shared" si="8"/>
        <v/>
      </c>
    </row>
    <row r="169" spans="1:6" x14ac:dyDescent="0.15">
      <c r="A169" s="7" t="s">
        <v>34</v>
      </c>
      <c r="B169" t="s">
        <v>35</v>
      </c>
      <c r="C169" s="9">
        <v>524000</v>
      </c>
      <c r="D169" s="7" t="str">
        <f t="shared" si="6"/>
        <v/>
      </c>
      <c r="E169" s="28" t="str">
        <f t="shared" si="7"/>
        <v/>
      </c>
      <c r="F169" s="7" t="str">
        <f t="shared" si="8"/>
        <v/>
      </c>
    </row>
    <row r="170" spans="1:6" x14ac:dyDescent="0.15">
      <c r="A170" s="7" t="s">
        <v>193</v>
      </c>
      <c r="B170" t="s">
        <v>38</v>
      </c>
      <c r="C170" s="9">
        <v>757000</v>
      </c>
      <c r="D170" s="7" t="str">
        <f t="shared" si="6"/>
        <v/>
      </c>
      <c r="E170" s="28">
        <f t="shared" si="7"/>
        <v>166540</v>
      </c>
      <c r="F170" s="7" t="str">
        <f t="shared" si="8"/>
        <v/>
      </c>
    </row>
    <row r="171" spans="1:6" x14ac:dyDescent="0.15">
      <c r="A171" s="7" t="s">
        <v>15</v>
      </c>
      <c r="B171" t="s">
        <v>16</v>
      </c>
      <c r="C171" s="9">
        <v>1045000</v>
      </c>
      <c r="D171" s="7" t="str">
        <f t="shared" si="6"/>
        <v/>
      </c>
      <c r="E171" s="28" t="str">
        <f t="shared" si="7"/>
        <v/>
      </c>
      <c r="F171" s="7" t="str">
        <f t="shared" si="8"/>
        <v/>
      </c>
    </row>
    <row r="172" spans="1:6" x14ac:dyDescent="0.15">
      <c r="A172" s="7" t="s">
        <v>55</v>
      </c>
      <c r="B172" t="s">
        <v>35</v>
      </c>
      <c r="C172" s="9">
        <v>1568000</v>
      </c>
      <c r="D172" s="7" t="str">
        <f t="shared" si="6"/>
        <v/>
      </c>
      <c r="E172" s="28" t="str">
        <f t="shared" si="7"/>
        <v/>
      </c>
      <c r="F172" s="7" t="str">
        <f t="shared" si="8"/>
        <v/>
      </c>
    </row>
    <row r="173" spans="1:6" x14ac:dyDescent="0.15">
      <c r="A173" s="7" t="s">
        <v>7</v>
      </c>
      <c r="B173" t="s">
        <v>8</v>
      </c>
      <c r="C173" s="9">
        <v>117000</v>
      </c>
      <c r="D173" s="7" t="str">
        <f t="shared" si="6"/>
        <v/>
      </c>
      <c r="E173" s="28" t="str">
        <f t="shared" si="7"/>
        <v/>
      </c>
      <c r="F173" s="7" t="str">
        <f t="shared" si="8"/>
        <v>VERO</v>
      </c>
    </row>
    <row r="174" spans="1:6" x14ac:dyDescent="0.15">
      <c r="A174" s="7" t="s">
        <v>62</v>
      </c>
      <c r="B174" t="s">
        <v>48</v>
      </c>
      <c r="C174" s="9">
        <v>158000</v>
      </c>
      <c r="D174" s="7" t="str">
        <f t="shared" si="6"/>
        <v/>
      </c>
      <c r="E174" s="28" t="str">
        <f t="shared" si="7"/>
        <v/>
      </c>
      <c r="F174" s="7" t="str">
        <f t="shared" si="8"/>
        <v/>
      </c>
    </row>
    <row r="175" spans="1:6" x14ac:dyDescent="0.15">
      <c r="A175" s="7" t="s">
        <v>67</v>
      </c>
      <c r="B175" t="s">
        <v>68</v>
      </c>
      <c r="C175" s="9">
        <v>260000</v>
      </c>
      <c r="D175" s="7" t="str">
        <f t="shared" si="6"/>
        <v/>
      </c>
      <c r="E175" s="28" t="str">
        <f t="shared" si="7"/>
        <v/>
      </c>
      <c r="F175" s="7" t="str">
        <f t="shared" si="8"/>
        <v/>
      </c>
    </row>
    <row r="176" spans="1:6" x14ac:dyDescent="0.15">
      <c r="A176" s="7" t="s">
        <v>44</v>
      </c>
      <c r="B176" t="s">
        <v>38</v>
      </c>
      <c r="C176" s="9">
        <v>193000</v>
      </c>
      <c r="D176" s="7" t="str">
        <f t="shared" si="6"/>
        <v/>
      </c>
      <c r="E176" s="28" t="str">
        <f t="shared" si="7"/>
        <v/>
      </c>
      <c r="F176" s="7" t="str">
        <f t="shared" si="8"/>
        <v/>
      </c>
    </row>
    <row r="177" spans="1:6" x14ac:dyDescent="0.15">
      <c r="A177" s="7" t="s">
        <v>11</v>
      </c>
      <c r="B177" t="s">
        <v>12</v>
      </c>
      <c r="C177" s="9">
        <v>270000</v>
      </c>
      <c r="D177" s="7" t="str">
        <f t="shared" si="6"/>
        <v/>
      </c>
      <c r="E177" s="28" t="str">
        <f t="shared" si="7"/>
        <v/>
      </c>
      <c r="F177" s="7" t="str">
        <f t="shared" si="8"/>
        <v/>
      </c>
    </row>
    <row r="178" spans="1:6" x14ac:dyDescent="0.15">
      <c r="A178" s="7" t="s">
        <v>17</v>
      </c>
      <c r="B178" t="s">
        <v>12</v>
      </c>
      <c r="C178" s="9">
        <v>314000</v>
      </c>
      <c r="D178" s="7" t="str">
        <f t="shared" si="6"/>
        <v/>
      </c>
      <c r="E178" s="28" t="str">
        <f t="shared" si="7"/>
        <v/>
      </c>
      <c r="F178" s="7" t="str">
        <f t="shared" si="8"/>
        <v/>
      </c>
    </row>
    <row r="179" spans="1:6" x14ac:dyDescent="0.15">
      <c r="A179" s="7" t="s">
        <v>52</v>
      </c>
      <c r="B179" t="s">
        <v>22</v>
      </c>
      <c r="C179" s="9">
        <v>894000</v>
      </c>
      <c r="D179" s="7" t="str">
        <f t="shared" si="6"/>
        <v/>
      </c>
      <c r="E179" s="28" t="str">
        <f t="shared" si="7"/>
        <v/>
      </c>
      <c r="F179" s="7" t="str">
        <f t="shared" si="8"/>
        <v/>
      </c>
    </row>
    <row r="180" spans="1:6" x14ac:dyDescent="0.15">
      <c r="A180" s="7" t="s">
        <v>31</v>
      </c>
      <c r="B180" t="s">
        <v>6</v>
      </c>
      <c r="C180" s="9">
        <v>1040000</v>
      </c>
      <c r="D180" s="7" t="str">
        <f t="shared" si="6"/>
        <v>trovato</v>
      </c>
      <c r="E180" s="28" t="str">
        <f t="shared" si="7"/>
        <v/>
      </c>
      <c r="F180" s="7" t="str">
        <f t="shared" si="8"/>
        <v/>
      </c>
    </row>
    <row r="181" spans="1:6" x14ac:dyDescent="0.15">
      <c r="A181" s="7" t="s">
        <v>25</v>
      </c>
      <c r="B181" t="s">
        <v>26</v>
      </c>
      <c r="C181" s="9">
        <v>8000</v>
      </c>
      <c r="D181" s="7" t="str">
        <f t="shared" si="6"/>
        <v/>
      </c>
      <c r="E181" s="28" t="str">
        <f t="shared" si="7"/>
        <v/>
      </c>
      <c r="F181" s="7" t="str">
        <f t="shared" si="8"/>
        <v/>
      </c>
    </row>
    <row r="182" spans="1:6" x14ac:dyDescent="0.15">
      <c r="A182" s="7" t="s">
        <v>9</v>
      </c>
      <c r="B182" t="s">
        <v>10</v>
      </c>
      <c r="C182" s="9">
        <v>10000</v>
      </c>
      <c r="D182" s="7" t="str">
        <f t="shared" si="6"/>
        <v/>
      </c>
      <c r="E182" s="28" t="str">
        <f t="shared" si="7"/>
        <v/>
      </c>
      <c r="F182" s="7" t="str">
        <f t="shared" si="8"/>
        <v/>
      </c>
    </row>
    <row r="183" spans="1:6" x14ac:dyDescent="0.15">
      <c r="A183" s="7" t="s">
        <v>59</v>
      </c>
      <c r="B183" t="s">
        <v>38</v>
      </c>
      <c r="C183" s="9">
        <v>24000</v>
      </c>
      <c r="D183" s="7" t="str">
        <f t="shared" si="6"/>
        <v/>
      </c>
      <c r="E183" s="28" t="str">
        <f t="shared" si="7"/>
        <v/>
      </c>
      <c r="F183" s="7" t="str">
        <f t="shared" si="8"/>
        <v/>
      </c>
    </row>
    <row r="184" spans="1:6" x14ac:dyDescent="0.15">
      <c r="A184" s="7" t="s">
        <v>29</v>
      </c>
      <c r="B184" t="s">
        <v>30</v>
      </c>
      <c r="C184" s="9">
        <v>11000</v>
      </c>
      <c r="D184" s="7" t="str">
        <f t="shared" si="6"/>
        <v/>
      </c>
      <c r="E184" s="28" t="str">
        <f t="shared" si="7"/>
        <v/>
      </c>
      <c r="F184" s="7" t="str">
        <f t="shared" si="8"/>
        <v/>
      </c>
    </row>
    <row r="185" spans="1:6" x14ac:dyDescent="0.15">
      <c r="A185" s="7" t="s">
        <v>56</v>
      </c>
      <c r="B185" t="s">
        <v>30</v>
      </c>
      <c r="C185" s="9">
        <v>10000</v>
      </c>
      <c r="D185" s="7" t="str">
        <f t="shared" si="6"/>
        <v/>
      </c>
      <c r="E185" s="28" t="str">
        <f t="shared" si="7"/>
        <v/>
      </c>
      <c r="F185" s="7" t="str">
        <f t="shared" si="8"/>
        <v/>
      </c>
    </row>
    <row r="186" spans="1:6" x14ac:dyDescent="0.15">
      <c r="A186" s="7" t="s">
        <v>31</v>
      </c>
      <c r="B186" t="s">
        <v>6</v>
      </c>
      <c r="C186" s="9">
        <v>26000</v>
      </c>
      <c r="D186" s="7" t="str">
        <f t="shared" si="6"/>
        <v/>
      </c>
      <c r="E186" s="28" t="str">
        <f t="shared" si="7"/>
        <v/>
      </c>
      <c r="F186" s="7" t="str">
        <f t="shared" si="8"/>
        <v/>
      </c>
    </row>
    <row r="187" spans="1:6" x14ac:dyDescent="0.15">
      <c r="A187" s="7" t="s">
        <v>59</v>
      </c>
      <c r="B187" t="s">
        <v>38</v>
      </c>
      <c r="C187" s="10"/>
      <c r="D187" s="7" t="str">
        <f t="shared" si="6"/>
        <v/>
      </c>
      <c r="E187" s="28" t="str">
        <f t="shared" si="7"/>
        <v/>
      </c>
      <c r="F187" s="7" t="str">
        <f t="shared" si="8"/>
        <v/>
      </c>
    </row>
    <row r="188" spans="1:6" x14ac:dyDescent="0.15">
      <c r="A188" s="7" t="s">
        <v>56</v>
      </c>
      <c r="B188" t="s">
        <v>30</v>
      </c>
      <c r="C188" s="9">
        <v>22000</v>
      </c>
      <c r="D188" s="7" t="str">
        <f t="shared" si="6"/>
        <v/>
      </c>
      <c r="E188" s="28" t="str">
        <f t="shared" si="7"/>
        <v/>
      </c>
      <c r="F188" s="7" t="str">
        <f t="shared" si="8"/>
        <v/>
      </c>
    </row>
    <row r="189" spans="1:6" x14ac:dyDescent="0.15">
      <c r="A189" s="7" t="s">
        <v>56</v>
      </c>
      <c r="B189" t="s">
        <v>30</v>
      </c>
      <c r="C189" s="9">
        <v>63000</v>
      </c>
      <c r="D189" s="7" t="str">
        <f t="shared" si="6"/>
        <v/>
      </c>
      <c r="E189" s="28" t="str">
        <f t="shared" si="7"/>
        <v/>
      </c>
      <c r="F189" s="7" t="str">
        <f t="shared" si="8"/>
        <v/>
      </c>
    </row>
    <row r="190" spans="1:6" x14ac:dyDescent="0.15">
      <c r="A190" s="7" t="s">
        <v>5</v>
      </c>
      <c r="B190" t="s">
        <v>6</v>
      </c>
      <c r="C190" s="9">
        <v>63000</v>
      </c>
      <c r="D190" s="7" t="str">
        <f t="shared" si="6"/>
        <v/>
      </c>
      <c r="E190" s="28" t="str">
        <f t="shared" si="7"/>
        <v/>
      </c>
      <c r="F190" s="7" t="str">
        <f t="shared" si="8"/>
        <v/>
      </c>
    </row>
    <row r="191" spans="1:6" x14ac:dyDescent="0.15">
      <c r="A191" s="7" t="s">
        <v>47</v>
      </c>
      <c r="B191" t="s">
        <v>48</v>
      </c>
      <c r="C191" s="9">
        <v>26000</v>
      </c>
      <c r="D191" s="7" t="str">
        <f t="shared" si="6"/>
        <v/>
      </c>
      <c r="E191" s="28" t="str">
        <f t="shared" si="7"/>
        <v/>
      </c>
      <c r="F191" s="7" t="str">
        <f t="shared" si="8"/>
        <v/>
      </c>
    </row>
    <row r="192" spans="1:6" x14ac:dyDescent="0.15">
      <c r="A192" s="7" t="s">
        <v>39</v>
      </c>
      <c r="B192" t="s">
        <v>40</v>
      </c>
      <c r="C192" s="9">
        <v>25000</v>
      </c>
      <c r="D192" s="7" t="str">
        <f t="shared" si="6"/>
        <v/>
      </c>
      <c r="E192" s="28" t="str">
        <f t="shared" si="7"/>
        <v/>
      </c>
      <c r="F192" s="7" t="str">
        <f t="shared" si="8"/>
        <v/>
      </c>
    </row>
    <row r="193" spans="1:6" x14ac:dyDescent="0.15">
      <c r="A193" s="7" t="s">
        <v>36</v>
      </c>
      <c r="B193" t="s">
        <v>30</v>
      </c>
      <c r="C193" s="9">
        <v>25000</v>
      </c>
      <c r="D193" s="7" t="str">
        <f t="shared" si="6"/>
        <v/>
      </c>
      <c r="E193" s="28" t="str">
        <f t="shared" si="7"/>
        <v/>
      </c>
      <c r="F193" s="7" t="str">
        <f t="shared" si="8"/>
        <v/>
      </c>
    </row>
    <row r="194" spans="1:6" x14ac:dyDescent="0.15">
      <c r="A194" s="7" t="s">
        <v>49</v>
      </c>
      <c r="B194" t="s">
        <v>30</v>
      </c>
      <c r="C194" s="9">
        <v>46000</v>
      </c>
      <c r="D194" s="7" t="str">
        <f t="shared" si="6"/>
        <v/>
      </c>
      <c r="E194" s="28" t="str">
        <f t="shared" si="7"/>
        <v/>
      </c>
      <c r="F194" s="7" t="str">
        <f t="shared" si="8"/>
        <v/>
      </c>
    </row>
    <row r="195" spans="1:6" x14ac:dyDescent="0.15">
      <c r="A195" s="7" t="s">
        <v>20</v>
      </c>
      <c r="B195" t="s">
        <v>10</v>
      </c>
      <c r="C195" s="10"/>
      <c r="D195" s="7" t="str">
        <f t="shared" si="6"/>
        <v/>
      </c>
      <c r="E195" s="28" t="str">
        <f t="shared" si="7"/>
        <v/>
      </c>
      <c r="F195" s="7" t="str">
        <f t="shared" si="8"/>
        <v/>
      </c>
    </row>
    <row r="196" spans="1:6" x14ac:dyDescent="0.15">
      <c r="A196" s="7" t="s">
        <v>18</v>
      </c>
      <c r="B196" t="s">
        <v>19</v>
      </c>
      <c r="C196" s="9">
        <v>37000</v>
      </c>
      <c r="D196" s="7" t="str">
        <f t="shared" si="6"/>
        <v/>
      </c>
      <c r="E196" s="28" t="str">
        <f t="shared" si="7"/>
        <v/>
      </c>
      <c r="F196" s="7" t="str">
        <f t="shared" si="8"/>
        <v/>
      </c>
    </row>
    <row r="197" spans="1:6" x14ac:dyDescent="0.15">
      <c r="A197" s="7" t="s">
        <v>46</v>
      </c>
      <c r="B197" t="s">
        <v>30</v>
      </c>
      <c r="C197" s="9">
        <v>37000</v>
      </c>
      <c r="D197" s="7" t="str">
        <f t="shared" si="6"/>
        <v/>
      </c>
      <c r="E197" s="28" t="str">
        <f t="shared" si="7"/>
        <v/>
      </c>
      <c r="F197" s="7" t="str">
        <f t="shared" si="8"/>
        <v/>
      </c>
    </row>
    <row r="198" spans="1:6" x14ac:dyDescent="0.15">
      <c r="A198" s="7" t="s">
        <v>67</v>
      </c>
      <c r="B198" t="s">
        <v>68</v>
      </c>
      <c r="C198" s="9">
        <v>11000</v>
      </c>
      <c r="D198" s="7" t="str">
        <f t="shared" ref="D198:D261" si="9">IF(AND(B198="abbigliamento",C198&gt;300000),"trovato","")</f>
        <v/>
      </c>
      <c r="E198" s="28" t="str">
        <f t="shared" si="7"/>
        <v/>
      </c>
      <c r="F198" s="7" t="str">
        <f t="shared" si="8"/>
        <v/>
      </c>
    </row>
    <row r="199" spans="1:6" x14ac:dyDescent="0.15">
      <c r="A199" s="7" t="s">
        <v>21</v>
      </c>
      <c r="B199" t="s">
        <v>22</v>
      </c>
      <c r="C199" s="9">
        <v>46000</v>
      </c>
      <c r="D199" s="7" t="str">
        <f t="shared" si="9"/>
        <v/>
      </c>
      <c r="E199" s="28" t="str">
        <f t="shared" si="7"/>
        <v/>
      </c>
      <c r="F199" s="7" t="str">
        <f t="shared" si="8"/>
        <v/>
      </c>
    </row>
    <row r="200" spans="1:6" x14ac:dyDescent="0.15">
      <c r="A200" s="7" t="s">
        <v>61</v>
      </c>
      <c r="B200" t="s">
        <v>24</v>
      </c>
      <c r="C200" s="9">
        <v>19000</v>
      </c>
      <c r="D200" s="7" t="str">
        <f t="shared" si="9"/>
        <v/>
      </c>
      <c r="E200" s="28" t="str">
        <f t="shared" ref="E200:E263" si="10">IF(A200="HHB",C200*(22/100),"")</f>
        <v/>
      </c>
      <c r="F200" s="7" t="str">
        <f t="shared" si="8"/>
        <v/>
      </c>
    </row>
    <row r="201" spans="1:6" x14ac:dyDescent="0.15">
      <c r="A201" s="7" t="s">
        <v>42</v>
      </c>
      <c r="B201" t="s">
        <v>43</v>
      </c>
      <c r="C201" s="9">
        <v>13000</v>
      </c>
      <c r="D201" s="7" t="str">
        <f t="shared" si="9"/>
        <v/>
      </c>
      <c r="E201" s="28" t="str">
        <f t="shared" si="10"/>
        <v/>
      </c>
      <c r="F201" s="7" t="str">
        <f t="shared" si="8"/>
        <v/>
      </c>
    </row>
    <row r="202" spans="1:6" x14ac:dyDescent="0.15">
      <c r="A202" s="7" t="s">
        <v>44</v>
      </c>
      <c r="B202" t="s">
        <v>38</v>
      </c>
      <c r="C202" s="9">
        <v>26000</v>
      </c>
      <c r="D202" s="7" t="str">
        <f t="shared" si="9"/>
        <v/>
      </c>
      <c r="E202" s="28" t="str">
        <f t="shared" si="10"/>
        <v/>
      </c>
      <c r="F202" s="7" t="str">
        <f t="shared" si="8"/>
        <v/>
      </c>
    </row>
    <row r="203" spans="1:6" x14ac:dyDescent="0.15">
      <c r="A203" s="7" t="s">
        <v>190</v>
      </c>
      <c r="B203" t="s">
        <v>58</v>
      </c>
      <c r="C203" s="9">
        <v>26000</v>
      </c>
      <c r="D203" s="7" t="str">
        <f t="shared" si="9"/>
        <v/>
      </c>
      <c r="E203" s="28" t="str">
        <f t="shared" si="10"/>
        <v/>
      </c>
      <c r="F203" s="7" t="str">
        <f t="shared" si="8"/>
        <v/>
      </c>
    </row>
    <row r="204" spans="1:6" x14ac:dyDescent="0.15">
      <c r="A204" s="7" t="s">
        <v>33</v>
      </c>
      <c r="B204" t="s">
        <v>6</v>
      </c>
      <c r="C204" s="9">
        <v>20000</v>
      </c>
      <c r="D204" s="7" t="str">
        <f t="shared" si="9"/>
        <v/>
      </c>
      <c r="E204" s="28" t="str">
        <f t="shared" si="10"/>
        <v/>
      </c>
      <c r="F204" s="7" t="str">
        <f t="shared" si="8"/>
        <v/>
      </c>
    </row>
    <row r="205" spans="1:6" x14ac:dyDescent="0.15">
      <c r="A205" s="7" t="s">
        <v>20</v>
      </c>
      <c r="B205" t="s">
        <v>10</v>
      </c>
      <c r="C205" s="9">
        <v>49000</v>
      </c>
      <c r="D205" s="7" t="str">
        <f t="shared" si="9"/>
        <v/>
      </c>
      <c r="E205" s="28" t="str">
        <f t="shared" si="10"/>
        <v/>
      </c>
      <c r="F205" s="7" t="str">
        <f t="shared" si="8"/>
        <v/>
      </c>
    </row>
    <row r="206" spans="1:6" x14ac:dyDescent="0.15">
      <c r="A206" s="7" t="s">
        <v>45</v>
      </c>
      <c r="B206" t="s">
        <v>10</v>
      </c>
      <c r="C206" s="9">
        <v>33000</v>
      </c>
      <c r="D206" s="7" t="str">
        <f t="shared" si="9"/>
        <v/>
      </c>
      <c r="E206" s="28" t="str">
        <f t="shared" si="10"/>
        <v/>
      </c>
      <c r="F206" s="7" t="str">
        <f t="shared" si="8"/>
        <v/>
      </c>
    </row>
    <row r="207" spans="1:6" x14ac:dyDescent="0.15">
      <c r="A207" s="7" t="s">
        <v>50</v>
      </c>
      <c r="B207" t="s">
        <v>51</v>
      </c>
      <c r="C207" s="9">
        <v>68000</v>
      </c>
      <c r="D207" s="7" t="str">
        <f t="shared" si="9"/>
        <v/>
      </c>
      <c r="E207" s="28" t="str">
        <f t="shared" si="10"/>
        <v/>
      </c>
      <c r="F207" s="7" t="str">
        <f t="shared" si="8"/>
        <v/>
      </c>
    </row>
    <row r="208" spans="1:6" x14ac:dyDescent="0.15">
      <c r="A208" s="7" t="s">
        <v>21</v>
      </c>
      <c r="B208" t="s">
        <v>22</v>
      </c>
      <c r="C208" s="9">
        <v>33000</v>
      </c>
      <c r="D208" s="7" t="str">
        <f t="shared" si="9"/>
        <v/>
      </c>
      <c r="E208" s="28" t="str">
        <f t="shared" si="10"/>
        <v/>
      </c>
      <c r="F208" s="7" t="str">
        <f t="shared" ref="F208:F271" si="11">IF(AND(B208="manuali",C208&lt;1000000),"VERO","")</f>
        <v/>
      </c>
    </row>
    <row r="209" spans="1:6" x14ac:dyDescent="0.15">
      <c r="A209" s="7" t="s">
        <v>60</v>
      </c>
      <c r="B209" t="s">
        <v>38</v>
      </c>
      <c r="C209" s="9">
        <v>147000</v>
      </c>
      <c r="D209" s="7" t="str">
        <f t="shared" si="9"/>
        <v/>
      </c>
      <c r="E209" s="28" t="str">
        <f t="shared" si="10"/>
        <v/>
      </c>
      <c r="F209" s="7" t="str">
        <f t="shared" si="11"/>
        <v/>
      </c>
    </row>
    <row r="210" spans="1:6" x14ac:dyDescent="0.15">
      <c r="A210" s="7" t="s">
        <v>69</v>
      </c>
      <c r="B210" t="s">
        <v>51</v>
      </c>
      <c r="C210" s="9">
        <v>151000</v>
      </c>
      <c r="D210" s="7" t="str">
        <f t="shared" si="9"/>
        <v/>
      </c>
      <c r="E210" s="28" t="str">
        <f t="shared" si="10"/>
        <v/>
      </c>
      <c r="F210" s="7" t="str">
        <f t="shared" si="11"/>
        <v/>
      </c>
    </row>
    <row r="211" spans="1:6" x14ac:dyDescent="0.15">
      <c r="A211" s="7" t="s">
        <v>69</v>
      </c>
      <c r="B211" t="s">
        <v>51</v>
      </c>
      <c r="C211" s="9">
        <v>197000</v>
      </c>
      <c r="D211" s="7" t="str">
        <f t="shared" si="9"/>
        <v/>
      </c>
      <c r="E211" s="28" t="str">
        <f t="shared" si="10"/>
        <v/>
      </c>
      <c r="F211" s="7" t="str">
        <f t="shared" si="11"/>
        <v/>
      </c>
    </row>
    <row r="212" spans="1:6" x14ac:dyDescent="0.15">
      <c r="A212" s="7" t="s">
        <v>57</v>
      </c>
      <c r="B212" t="s">
        <v>58</v>
      </c>
      <c r="C212" s="9">
        <v>310000</v>
      </c>
      <c r="D212" s="7" t="str">
        <f t="shared" si="9"/>
        <v/>
      </c>
      <c r="E212" s="28" t="str">
        <f t="shared" si="10"/>
        <v/>
      </c>
      <c r="F212" s="7" t="str">
        <f t="shared" si="11"/>
        <v/>
      </c>
    </row>
    <row r="213" spans="1:6" x14ac:dyDescent="0.15">
      <c r="A213" s="7" t="s">
        <v>53</v>
      </c>
      <c r="B213" t="s">
        <v>54</v>
      </c>
      <c r="C213" s="9">
        <v>271000</v>
      </c>
      <c r="D213" s="7" t="str">
        <f t="shared" si="9"/>
        <v/>
      </c>
      <c r="E213" s="28" t="str">
        <f t="shared" si="10"/>
        <v/>
      </c>
      <c r="F213" s="7" t="str">
        <f t="shared" si="11"/>
        <v/>
      </c>
    </row>
    <row r="214" spans="1:6" x14ac:dyDescent="0.15">
      <c r="A214" s="7" t="s">
        <v>5</v>
      </c>
      <c r="B214" t="s">
        <v>6</v>
      </c>
      <c r="C214" s="9">
        <v>458000</v>
      </c>
      <c r="D214" s="7" t="str">
        <f t="shared" si="9"/>
        <v>trovato</v>
      </c>
      <c r="E214" s="28" t="str">
        <f t="shared" si="10"/>
        <v/>
      </c>
      <c r="F214" s="7" t="str">
        <f t="shared" si="11"/>
        <v/>
      </c>
    </row>
    <row r="215" spans="1:6" x14ac:dyDescent="0.15">
      <c r="A215" s="7" t="s">
        <v>31</v>
      </c>
      <c r="B215" t="s">
        <v>6</v>
      </c>
      <c r="C215" s="9">
        <v>412000</v>
      </c>
      <c r="D215" s="7" t="str">
        <f t="shared" si="9"/>
        <v>trovato</v>
      </c>
      <c r="E215" s="28" t="str">
        <f t="shared" si="10"/>
        <v/>
      </c>
      <c r="F215" s="7" t="str">
        <f t="shared" si="11"/>
        <v/>
      </c>
    </row>
    <row r="216" spans="1:6" x14ac:dyDescent="0.15">
      <c r="A216" s="7" t="s">
        <v>31</v>
      </c>
      <c r="B216" t="s">
        <v>6</v>
      </c>
      <c r="C216" s="9">
        <v>807000</v>
      </c>
      <c r="D216" s="7" t="str">
        <f t="shared" si="9"/>
        <v>trovato</v>
      </c>
      <c r="E216" s="28" t="str">
        <f t="shared" si="10"/>
        <v/>
      </c>
      <c r="F216" s="7" t="str">
        <f t="shared" si="11"/>
        <v/>
      </c>
    </row>
    <row r="217" spans="1:6" x14ac:dyDescent="0.15">
      <c r="A217" s="7" t="s">
        <v>47</v>
      </c>
      <c r="B217" t="s">
        <v>48</v>
      </c>
      <c r="C217" s="9">
        <v>4000</v>
      </c>
      <c r="D217" s="7" t="str">
        <f t="shared" si="9"/>
        <v/>
      </c>
      <c r="E217" s="28" t="str">
        <f t="shared" si="10"/>
        <v/>
      </c>
      <c r="F217" s="7" t="str">
        <f t="shared" si="11"/>
        <v/>
      </c>
    </row>
    <row r="218" spans="1:6" x14ac:dyDescent="0.15">
      <c r="A218" s="7" t="s">
        <v>25</v>
      </c>
      <c r="B218" t="s">
        <v>26</v>
      </c>
      <c r="C218" s="9">
        <v>81000</v>
      </c>
      <c r="D218" s="7" t="str">
        <f t="shared" si="9"/>
        <v/>
      </c>
      <c r="E218" s="28" t="str">
        <f t="shared" si="10"/>
        <v/>
      </c>
      <c r="F218" s="7" t="str">
        <f t="shared" si="11"/>
        <v/>
      </c>
    </row>
    <row r="219" spans="1:6" x14ac:dyDescent="0.15">
      <c r="A219" s="7" t="s">
        <v>65</v>
      </c>
      <c r="B219" t="s">
        <v>64</v>
      </c>
      <c r="C219" s="9">
        <v>125000</v>
      </c>
      <c r="D219" s="7" t="str">
        <f t="shared" si="9"/>
        <v/>
      </c>
      <c r="E219" s="28" t="str">
        <f t="shared" si="10"/>
        <v/>
      </c>
      <c r="F219" s="7" t="str">
        <f t="shared" si="11"/>
        <v/>
      </c>
    </row>
    <row r="220" spans="1:6" x14ac:dyDescent="0.15">
      <c r="A220" s="7" t="s">
        <v>66</v>
      </c>
      <c r="B220" t="s">
        <v>51</v>
      </c>
      <c r="C220" s="9">
        <v>98000</v>
      </c>
      <c r="D220" s="7" t="str">
        <f t="shared" si="9"/>
        <v/>
      </c>
      <c r="E220" s="28" t="str">
        <f t="shared" si="10"/>
        <v/>
      </c>
      <c r="F220" s="7" t="str">
        <f t="shared" si="11"/>
        <v/>
      </c>
    </row>
    <row r="221" spans="1:6" x14ac:dyDescent="0.15">
      <c r="A221" s="7" t="s">
        <v>33</v>
      </c>
      <c r="B221" t="s">
        <v>6</v>
      </c>
      <c r="C221" s="9">
        <v>140000</v>
      </c>
      <c r="D221" s="7" t="str">
        <f t="shared" si="9"/>
        <v/>
      </c>
      <c r="E221" s="28" t="str">
        <f t="shared" si="10"/>
        <v/>
      </c>
      <c r="F221" s="7" t="str">
        <f t="shared" si="11"/>
        <v/>
      </c>
    </row>
    <row r="222" spans="1:6" x14ac:dyDescent="0.15">
      <c r="A222" s="7" t="s">
        <v>9</v>
      </c>
      <c r="B222" t="s">
        <v>10</v>
      </c>
      <c r="C222" s="9">
        <v>5000</v>
      </c>
      <c r="D222" s="7" t="str">
        <f t="shared" si="9"/>
        <v/>
      </c>
      <c r="E222" s="28" t="str">
        <f t="shared" si="10"/>
        <v/>
      </c>
      <c r="F222" s="7" t="str">
        <f t="shared" si="11"/>
        <v/>
      </c>
    </row>
    <row r="223" spans="1:6" x14ac:dyDescent="0.15">
      <c r="A223" s="7" t="s">
        <v>65</v>
      </c>
      <c r="B223" t="s">
        <v>64</v>
      </c>
      <c r="C223" s="9">
        <v>6000</v>
      </c>
      <c r="D223" s="7" t="str">
        <f t="shared" si="9"/>
        <v/>
      </c>
      <c r="E223" s="28" t="str">
        <f t="shared" si="10"/>
        <v/>
      </c>
      <c r="F223" s="7" t="str">
        <f t="shared" si="11"/>
        <v/>
      </c>
    </row>
    <row r="224" spans="1:6" x14ac:dyDescent="0.15">
      <c r="A224" s="7" t="s">
        <v>9</v>
      </c>
      <c r="B224" t="s">
        <v>10</v>
      </c>
      <c r="C224" s="9">
        <v>9000</v>
      </c>
      <c r="D224" s="7" t="str">
        <f t="shared" si="9"/>
        <v/>
      </c>
      <c r="E224" s="28" t="str">
        <f t="shared" si="10"/>
        <v/>
      </c>
      <c r="F224" s="7" t="str">
        <f t="shared" si="11"/>
        <v/>
      </c>
    </row>
    <row r="225" spans="1:6" x14ac:dyDescent="0.15">
      <c r="A225" s="7" t="s">
        <v>70</v>
      </c>
      <c r="B225" t="s">
        <v>58</v>
      </c>
      <c r="C225" s="9">
        <v>8000</v>
      </c>
      <c r="D225" s="7" t="str">
        <f t="shared" si="9"/>
        <v/>
      </c>
      <c r="E225" s="28" t="str">
        <f t="shared" si="10"/>
        <v/>
      </c>
      <c r="F225" s="7" t="str">
        <f t="shared" si="11"/>
        <v/>
      </c>
    </row>
    <row r="226" spans="1:6" x14ac:dyDescent="0.15">
      <c r="A226" s="7" t="s">
        <v>70</v>
      </c>
      <c r="B226" t="s">
        <v>58</v>
      </c>
      <c r="C226" s="9">
        <v>11000</v>
      </c>
      <c r="D226" s="7" t="str">
        <f t="shared" si="9"/>
        <v/>
      </c>
      <c r="E226" s="28" t="str">
        <f t="shared" si="10"/>
        <v/>
      </c>
      <c r="F226" s="7" t="str">
        <f t="shared" si="11"/>
        <v/>
      </c>
    </row>
    <row r="227" spans="1:6" x14ac:dyDescent="0.15">
      <c r="A227" s="7" t="s">
        <v>73</v>
      </c>
      <c r="B227" t="s">
        <v>64</v>
      </c>
      <c r="C227" s="9">
        <v>21000</v>
      </c>
      <c r="D227" s="7" t="str">
        <f t="shared" si="9"/>
        <v/>
      </c>
      <c r="E227" s="28" t="str">
        <f t="shared" si="10"/>
        <v/>
      </c>
      <c r="F227" s="7" t="str">
        <f t="shared" si="11"/>
        <v/>
      </c>
    </row>
    <row r="228" spans="1:6" x14ac:dyDescent="0.15">
      <c r="A228" s="7" t="s">
        <v>71</v>
      </c>
      <c r="B228" t="s">
        <v>72</v>
      </c>
      <c r="C228" s="9">
        <v>14000</v>
      </c>
      <c r="D228" s="7" t="str">
        <f t="shared" si="9"/>
        <v/>
      </c>
      <c r="E228" s="28" t="str">
        <f t="shared" si="10"/>
        <v/>
      </c>
      <c r="F228" s="7" t="str">
        <f t="shared" si="11"/>
        <v/>
      </c>
    </row>
    <row r="229" spans="1:6" x14ac:dyDescent="0.15">
      <c r="A229" s="7" t="s">
        <v>27</v>
      </c>
      <c r="B229" t="s">
        <v>28</v>
      </c>
      <c r="C229" s="9">
        <v>23000</v>
      </c>
      <c r="D229" s="7" t="str">
        <f t="shared" si="9"/>
        <v/>
      </c>
      <c r="E229" s="28" t="str">
        <f t="shared" si="10"/>
        <v/>
      </c>
      <c r="F229" s="7" t="str">
        <f t="shared" si="11"/>
        <v/>
      </c>
    </row>
    <row r="230" spans="1:6" x14ac:dyDescent="0.15">
      <c r="A230" s="7" t="s">
        <v>37</v>
      </c>
      <c r="B230" t="s">
        <v>38</v>
      </c>
      <c r="C230" s="9">
        <v>51000</v>
      </c>
      <c r="D230" s="7" t="str">
        <f t="shared" si="9"/>
        <v/>
      </c>
      <c r="E230" s="28" t="str">
        <f t="shared" si="10"/>
        <v/>
      </c>
      <c r="F230" s="7" t="str">
        <f t="shared" si="11"/>
        <v/>
      </c>
    </row>
    <row r="231" spans="1:6" x14ac:dyDescent="0.15">
      <c r="A231" s="7" t="s">
        <v>60</v>
      </c>
      <c r="B231" t="s">
        <v>38</v>
      </c>
      <c r="C231" s="10"/>
      <c r="D231" s="7" t="str">
        <f t="shared" si="9"/>
        <v/>
      </c>
      <c r="E231" s="28" t="str">
        <f t="shared" si="10"/>
        <v/>
      </c>
      <c r="F231" s="7" t="str">
        <f t="shared" si="11"/>
        <v/>
      </c>
    </row>
    <row r="232" spans="1:6" x14ac:dyDescent="0.15">
      <c r="A232" s="7" t="s">
        <v>23</v>
      </c>
      <c r="B232" t="s">
        <v>24</v>
      </c>
      <c r="C232" s="9">
        <v>198000</v>
      </c>
      <c r="D232" s="7" t="str">
        <f t="shared" si="9"/>
        <v/>
      </c>
      <c r="E232" s="28" t="str">
        <f t="shared" si="10"/>
        <v/>
      </c>
      <c r="F232" s="7" t="str">
        <f t="shared" si="11"/>
        <v/>
      </c>
    </row>
    <row r="233" spans="1:6" x14ac:dyDescent="0.15">
      <c r="A233" s="7" t="s">
        <v>71</v>
      </c>
      <c r="B233" t="s">
        <v>72</v>
      </c>
      <c r="C233" s="9">
        <v>167000</v>
      </c>
      <c r="D233" s="7" t="str">
        <f t="shared" si="9"/>
        <v/>
      </c>
      <c r="E233" s="28" t="str">
        <f t="shared" si="10"/>
        <v/>
      </c>
      <c r="F233" s="7" t="str">
        <f t="shared" si="11"/>
        <v/>
      </c>
    </row>
    <row r="234" spans="1:6" x14ac:dyDescent="0.15">
      <c r="A234" s="7" t="s">
        <v>25</v>
      </c>
      <c r="B234" t="s">
        <v>26</v>
      </c>
      <c r="C234" s="9">
        <v>95000</v>
      </c>
      <c r="D234" s="7" t="str">
        <f t="shared" si="9"/>
        <v/>
      </c>
      <c r="E234" s="28" t="str">
        <f t="shared" si="10"/>
        <v/>
      </c>
      <c r="F234" s="7" t="str">
        <f t="shared" si="11"/>
        <v/>
      </c>
    </row>
    <row r="235" spans="1:6" x14ac:dyDescent="0.15">
      <c r="A235" s="7" t="s">
        <v>73</v>
      </c>
      <c r="B235" t="s">
        <v>64</v>
      </c>
      <c r="C235" s="9">
        <v>141000</v>
      </c>
      <c r="D235" s="7" t="str">
        <f t="shared" si="9"/>
        <v/>
      </c>
      <c r="E235" s="28" t="str">
        <f t="shared" si="10"/>
        <v/>
      </c>
      <c r="F235" s="7" t="str">
        <f t="shared" si="11"/>
        <v/>
      </c>
    </row>
    <row r="236" spans="1:6" x14ac:dyDescent="0.15">
      <c r="A236" s="7" t="s">
        <v>62</v>
      </c>
      <c r="B236" t="s">
        <v>28</v>
      </c>
      <c r="C236" s="9">
        <v>351000</v>
      </c>
      <c r="D236" s="7" t="str">
        <f t="shared" si="9"/>
        <v/>
      </c>
      <c r="E236" s="28" t="str">
        <f t="shared" si="10"/>
        <v/>
      </c>
      <c r="F236" s="7" t="str">
        <f t="shared" si="11"/>
        <v/>
      </c>
    </row>
    <row r="237" spans="1:6" x14ac:dyDescent="0.15">
      <c r="A237" s="7" t="s">
        <v>33</v>
      </c>
      <c r="B237" t="s">
        <v>6</v>
      </c>
      <c r="C237" s="9">
        <v>414000</v>
      </c>
      <c r="D237" s="7" t="str">
        <f t="shared" si="9"/>
        <v>trovato</v>
      </c>
      <c r="E237" s="28" t="str">
        <f t="shared" si="10"/>
        <v/>
      </c>
      <c r="F237" s="7" t="str">
        <f t="shared" si="11"/>
        <v/>
      </c>
    </row>
    <row r="238" spans="1:6" x14ac:dyDescent="0.15">
      <c r="A238" s="7" t="s">
        <v>32</v>
      </c>
      <c r="B238" t="s">
        <v>22</v>
      </c>
      <c r="C238" s="9">
        <v>61000</v>
      </c>
      <c r="D238" s="7" t="str">
        <f t="shared" si="9"/>
        <v/>
      </c>
      <c r="E238" s="28" t="str">
        <f t="shared" si="10"/>
        <v/>
      </c>
      <c r="F238" s="7" t="str">
        <f t="shared" si="11"/>
        <v/>
      </c>
    </row>
    <row r="239" spans="1:6" x14ac:dyDescent="0.15">
      <c r="A239" s="7" t="s">
        <v>74</v>
      </c>
      <c r="B239" t="s">
        <v>38</v>
      </c>
      <c r="C239" s="9">
        <v>893000</v>
      </c>
      <c r="D239" s="7" t="str">
        <f t="shared" si="9"/>
        <v/>
      </c>
      <c r="E239" s="28" t="str">
        <f t="shared" si="10"/>
        <v/>
      </c>
      <c r="F239" s="7" t="str">
        <f t="shared" si="11"/>
        <v/>
      </c>
    </row>
    <row r="240" spans="1:6" x14ac:dyDescent="0.15">
      <c r="A240" s="7" t="s">
        <v>74</v>
      </c>
      <c r="B240" t="s">
        <v>38</v>
      </c>
      <c r="C240" s="9">
        <v>985000</v>
      </c>
      <c r="D240" s="7" t="str">
        <f t="shared" si="9"/>
        <v/>
      </c>
      <c r="E240" s="28" t="str">
        <f t="shared" si="10"/>
        <v/>
      </c>
      <c r="F240" s="7" t="str">
        <f t="shared" si="11"/>
        <v/>
      </c>
    </row>
    <row r="241" spans="1:6" x14ac:dyDescent="0.15">
      <c r="A241" s="7" t="s">
        <v>63</v>
      </c>
      <c r="B241" t="s">
        <v>64</v>
      </c>
      <c r="C241" s="9">
        <v>296000</v>
      </c>
      <c r="D241" s="7" t="str">
        <f t="shared" si="9"/>
        <v/>
      </c>
      <c r="E241" s="28" t="str">
        <f t="shared" si="10"/>
        <v/>
      </c>
      <c r="F241" s="7" t="str">
        <f t="shared" si="11"/>
        <v/>
      </c>
    </row>
    <row r="242" spans="1:6" x14ac:dyDescent="0.15">
      <c r="A242" s="7" t="s">
        <v>61</v>
      </c>
      <c r="B242" t="s">
        <v>6</v>
      </c>
      <c r="C242" s="9">
        <v>685000</v>
      </c>
      <c r="D242" s="7" t="str">
        <f t="shared" si="9"/>
        <v>trovato</v>
      </c>
      <c r="E242" s="28" t="str">
        <f t="shared" si="10"/>
        <v/>
      </c>
      <c r="F242" s="7" t="str">
        <f t="shared" si="11"/>
        <v/>
      </c>
    </row>
    <row r="243" spans="1:6" x14ac:dyDescent="0.15">
      <c r="A243" s="7" t="s">
        <v>41</v>
      </c>
      <c r="B243" t="s">
        <v>6</v>
      </c>
      <c r="C243" s="9">
        <v>1138000</v>
      </c>
      <c r="D243" s="7" t="str">
        <f t="shared" si="9"/>
        <v>trovato</v>
      </c>
      <c r="E243" s="28" t="str">
        <f t="shared" si="10"/>
        <v/>
      </c>
      <c r="F243" s="7" t="str">
        <f t="shared" si="11"/>
        <v/>
      </c>
    </row>
    <row r="244" spans="1:6" x14ac:dyDescent="0.15">
      <c r="A244" s="7" t="s">
        <v>193</v>
      </c>
      <c r="B244" t="s">
        <v>38</v>
      </c>
      <c r="C244" s="9">
        <v>1334000</v>
      </c>
      <c r="D244" s="7" t="str">
        <f t="shared" si="9"/>
        <v/>
      </c>
      <c r="E244" s="28">
        <f t="shared" si="10"/>
        <v>293480</v>
      </c>
      <c r="F244" s="7" t="str">
        <f t="shared" si="11"/>
        <v/>
      </c>
    </row>
    <row r="245" spans="1:6" x14ac:dyDescent="0.15">
      <c r="A245" s="7" t="s">
        <v>62</v>
      </c>
      <c r="B245" t="s">
        <v>28</v>
      </c>
      <c r="C245" s="9">
        <v>30000</v>
      </c>
      <c r="D245" s="7" t="str">
        <f t="shared" si="9"/>
        <v/>
      </c>
      <c r="E245" s="28" t="str">
        <f t="shared" si="10"/>
        <v/>
      </c>
      <c r="F245" s="7" t="str">
        <f t="shared" si="11"/>
        <v/>
      </c>
    </row>
    <row r="246" spans="1:6" x14ac:dyDescent="0.15">
      <c r="A246" s="7" t="s">
        <v>25</v>
      </c>
      <c r="B246" t="s">
        <v>26</v>
      </c>
      <c r="C246" s="9">
        <v>30000</v>
      </c>
      <c r="D246" s="7" t="str">
        <f t="shared" si="9"/>
        <v/>
      </c>
      <c r="E246" s="28" t="str">
        <f t="shared" si="10"/>
        <v/>
      </c>
      <c r="F246" s="7" t="str">
        <f t="shared" si="11"/>
        <v/>
      </c>
    </row>
    <row r="247" spans="1:6" x14ac:dyDescent="0.15">
      <c r="A247" s="7" t="s">
        <v>13</v>
      </c>
      <c r="B247" t="s">
        <v>14</v>
      </c>
      <c r="C247" s="9">
        <v>406000</v>
      </c>
      <c r="D247" s="7" t="str">
        <f t="shared" si="9"/>
        <v/>
      </c>
      <c r="E247" s="28" t="str">
        <f t="shared" si="10"/>
        <v/>
      </c>
      <c r="F247" s="7" t="str">
        <f t="shared" si="11"/>
        <v/>
      </c>
    </row>
    <row r="248" spans="1:6" x14ac:dyDescent="0.15">
      <c r="A248" s="7" t="s">
        <v>34</v>
      </c>
      <c r="B248" t="s">
        <v>35</v>
      </c>
      <c r="C248" s="9">
        <v>197000</v>
      </c>
      <c r="D248" s="7" t="str">
        <f t="shared" si="9"/>
        <v/>
      </c>
      <c r="E248" s="28" t="str">
        <f t="shared" si="10"/>
        <v/>
      </c>
      <c r="F248" s="7" t="str">
        <f t="shared" si="11"/>
        <v/>
      </c>
    </row>
    <row r="249" spans="1:6" x14ac:dyDescent="0.15">
      <c r="A249" s="7" t="s">
        <v>193</v>
      </c>
      <c r="B249" t="s">
        <v>38</v>
      </c>
      <c r="C249" s="9">
        <v>645000</v>
      </c>
      <c r="D249" s="7" t="str">
        <f t="shared" si="9"/>
        <v/>
      </c>
      <c r="E249" s="28">
        <f t="shared" si="10"/>
        <v>141900</v>
      </c>
      <c r="F249" s="7" t="str">
        <f t="shared" si="11"/>
        <v/>
      </c>
    </row>
    <row r="250" spans="1:6" x14ac:dyDescent="0.15">
      <c r="A250" s="7" t="s">
        <v>15</v>
      </c>
      <c r="B250" t="s">
        <v>16</v>
      </c>
      <c r="C250" s="9">
        <v>645000</v>
      </c>
      <c r="D250" s="7" t="str">
        <f t="shared" si="9"/>
        <v/>
      </c>
      <c r="E250" s="28" t="str">
        <f t="shared" si="10"/>
        <v/>
      </c>
      <c r="F250" s="7" t="str">
        <f t="shared" si="11"/>
        <v/>
      </c>
    </row>
    <row r="251" spans="1:6" x14ac:dyDescent="0.15">
      <c r="A251" s="7" t="s">
        <v>55</v>
      </c>
      <c r="B251" t="s">
        <v>35</v>
      </c>
      <c r="C251" s="9">
        <v>259000</v>
      </c>
      <c r="D251" s="7" t="str">
        <f t="shared" si="9"/>
        <v/>
      </c>
      <c r="E251" s="28" t="str">
        <f t="shared" si="10"/>
        <v/>
      </c>
      <c r="F251" s="7" t="str">
        <f t="shared" si="11"/>
        <v/>
      </c>
    </row>
    <row r="252" spans="1:6" x14ac:dyDescent="0.15">
      <c r="A252" s="7" t="s">
        <v>7</v>
      </c>
      <c r="B252" t="s">
        <v>8</v>
      </c>
      <c r="C252" s="9">
        <v>646000</v>
      </c>
      <c r="D252" s="7" t="str">
        <f t="shared" si="9"/>
        <v/>
      </c>
      <c r="E252" s="28" t="str">
        <f t="shared" si="10"/>
        <v/>
      </c>
      <c r="F252" s="7" t="str">
        <f t="shared" si="11"/>
        <v>VERO</v>
      </c>
    </row>
    <row r="253" spans="1:6" x14ac:dyDescent="0.15">
      <c r="A253" s="7" t="s">
        <v>62</v>
      </c>
      <c r="B253" t="s">
        <v>48</v>
      </c>
      <c r="C253" s="9">
        <v>259000</v>
      </c>
      <c r="D253" s="7" t="str">
        <f t="shared" si="9"/>
        <v/>
      </c>
      <c r="E253" s="28" t="str">
        <f t="shared" si="10"/>
        <v/>
      </c>
      <c r="F253" s="7" t="str">
        <f t="shared" si="11"/>
        <v/>
      </c>
    </row>
    <row r="254" spans="1:6" x14ac:dyDescent="0.15">
      <c r="A254" s="7" t="s">
        <v>67</v>
      </c>
      <c r="B254" t="s">
        <v>68</v>
      </c>
      <c r="C254" s="9">
        <v>645000</v>
      </c>
      <c r="D254" s="7" t="str">
        <f t="shared" si="9"/>
        <v/>
      </c>
      <c r="E254" s="28" t="str">
        <f t="shared" si="10"/>
        <v/>
      </c>
      <c r="F254" s="7" t="str">
        <f t="shared" si="11"/>
        <v/>
      </c>
    </row>
    <row r="255" spans="1:6" x14ac:dyDescent="0.15">
      <c r="A255" s="7" t="s">
        <v>44</v>
      </c>
      <c r="B255" t="s">
        <v>38</v>
      </c>
      <c r="C255" s="9">
        <v>879000</v>
      </c>
      <c r="D255" s="7" t="str">
        <f t="shared" si="9"/>
        <v/>
      </c>
      <c r="E255" s="28" t="str">
        <f t="shared" si="10"/>
        <v/>
      </c>
      <c r="F255" s="7" t="str">
        <f t="shared" si="11"/>
        <v/>
      </c>
    </row>
    <row r="256" spans="1:6" x14ac:dyDescent="0.15">
      <c r="A256" s="7" t="s">
        <v>11</v>
      </c>
      <c r="B256" t="s">
        <v>12</v>
      </c>
      <c r="C256" s="9">
        <v>259000</v>
      </c>
      <c r="D256" s="7" t="str">
        <f t="shared" si="9"/>
        <v/>
      </c>
      <c r="E256" s="28" t="str">
        <f t="shared" si="10"/>
        <v/>
      </c>
      <c r="F256" s="7" t="str">
        <f t="shared" si="11"/>
        <v/>
      </c>
    </row>
    <row r="257" spans="1:6" x14ac:dyDescent="0.15">
      <c r="A257" s="7" t="s">
        <v>17</v>
      </c>
      <c r="B257" t="s">
        <v>12</v>
      </c>
      <c r="C257" s="9">
        <v>274000</v>
      </c>
      <c r="D257" s="7" t="str">
        <f t="shared" si="9"/>
        <v/>
      </c>
      <c r="E257" s="28" t="str">
        <f t="shared" si="10"/>
        <v/>
      </c>
      <c r="F257" s="7" t="str">
        <f t="shared" si="11"/>
        <v/>
      </c>
    </row>
    <row r="258" spans="1:6" x14ac:dyDescent="0.15">
      <c r="A258" s="7" t="s">
        <v>52</v>
      </c>
      <c r="B258" t="s">
        <v>22</v>
      </c>
      <c r="C258" s="9">
        <v>975000</v>
      </c>
      <c r="D258" s="7" t="str">
        <f t="shared" si="9"/>
        <v/>
      </c>
      <c r="E258" s="28" t="str">
        <f t="shared" si="10"/>
        <v/>
      </c>
      <c r="F258" s="7" t="str">
        <f t="shared" si="11"/>
        <v/>
      </c>
    </row>
    <row r="259" spans="1:6" x14ac:dyDescent="0.15">
      <c r="A259" s="7" t="s">
        <v>31</v>
      </c>
      <c r="B259" t="s">
        <v>6</v>
      </c>
      <c r="C259" s="9">
        <v>480000</v>
      </c>
      <c r="D259" s="7" t="str">
        <f t="shared" si="9"/>
        <v>trovato</v>
      </c>
      <c r="E259" s="28" t="str">
        <f t="shared" si="10"/>
        <v/>
      </c>
      <c r="F259" s="7" t="str">
        <f t="shared" si="11"/>
        <v/>
      </c>
    </row>
    <row r="260" spans="1:6" x14ac:dyDescent="0.15">
      <c r="A260" s="7" t="s">
        <v>25</v>
      </c>
      <c r="B260" t="s">
        <v>26</v>
      </c>
      <c r="C260" s="9">
        <v>1187000</v>
      </c>
      <c r="D260" s="7" t="str">
        <f t="shared" si="9"/>
        <v/>
      </c>
      <c r="E260" s="28" t="str">
        <f t="shared" si="10"/>
        <v/>
      </c>
      <c r="F260" s="7" t="str">
        <f t="shared" si="11"/>
        <v/>
      </c>
    </row>
    <row r="261" spans="1:6" x14ac:dyDescent="0.15">
      <c r="A261" s="7" t="s">
        <v>9</v>
      </c>
      <c r="B261" t="s">
        <v>10</v>
      </c>
      <c r="C261" s="9">
        <v>832000</v>
      </c>
      <c r="D261" s="7" t="str">
        <f t="shared" si="9"/>
        <v/>
      </c>
      <c r="E261" s="28" t="str">
        <f t="shared" si="10"/>
        <v/>
      </c>
      <c r="F261" s="7" t="str">
        <f t="shared" si="11"/>
        <v/>
      </c>
    </row>
    <row r="262" spans="1:6" x14ac:dyDescent="0.15">
      <c r="A262" s="7" t="s">
        <v>59</v>
      </c>
      <c r="B262" t="s">
        <v>38</v>
      </c>
      <c r="C262" s="9">
        <v>227000</v>
      </c>
      <c r="D262" s="7" t="str">
        <f t="shared" ref="D262:D325" si="12">IF(AND(B262="abbigliamento",C262&gt;300000),"trovato","")</f>
        <v/>
      </c>
      <c r="E262" s="28" t="str">
        <f t="shared" si="10"/>
        <v/>
      </c>
      <c r="F262" s="7" t="str">
        <f t="shared" si="11"/>
        <v/>
      </c>
    </row>
    <row r="263" spans="1:6" x14ac:dyDescent="0.15">
      <c r="A263" s="7" t="s">
        <v>29</v>
      </c>
      <c r="B263" t="s">
        <v>30</v>
      </c>
      <c r="C263" s="9">
        <v>98000</v>
      </c>
      <c r="D263" s="7" t="str">
        <f t="shared" si="12"/>
        <v/>
      </c>
      <c r="E263" s="28" t="str">
        <f t="shared" si="10"/>
        <v/>
      </c>
      <c r="F263" s="7" t="str">
        <f t="shared" si="11"/>
        <v/>
      </c>
    </row>
    <row r="264" spans="1:6" x14ac:dyDescent="0.15">
      <c r="A264" s="7" t="s">
        <v>56</v>
      </c>
      <c r="B264" t="s">
        <v>30</v>
      </c>
      <c r="C264" s="9">
        <v>1190000</v>
      </c>
      <c r="D264" s="7" t="str">
        <f t="shared" si="12"/>
        <v/>
      </c>
      <c r="E264" s="28" t="str">
        <f t="shared" ref="E264:E327" si="13">IF(A264="HHB",C264*(22/100),"")</f>
        <v/>
      </c>
      <c r="F264" s="7" t="str">
        <f t="shared" si="11"/>
        <v/>
      </c>
    </row>
    <row r="265" spans="1:6" x14ac:dyDescent="0.15">
      <c r="A265" s="7" t="s">
        <v>31</v>
      </c>
      <c r="B265" t="s">
        <v>6</v>
      </c>
      <c r="C265" s="9">
        <v>300000</v>
      </c>
      <c r="D265" s="7" t="str">
        <f t="shared" si="12"/>
        <v/>
      </c>
      <c r="E265" s="28" t="str">
        <f t="shared" si="13"/>
        <v/>
      </c>
      <c r="F265" s="7" t="str">
        <f t="shared" si="11"/>
        <v/>
      </c>
    </row>
    <row r="266" spans="1:6" x14ac:dyDescent="0.15">
      <c r="A266" s="7" t="s">
        <v>59</v>
      </c>
      <c r="B266" t="s">
        <v>38</v>
      </c>
      <c r="C266" s="9">
        <v>2407000</v>
      </c>
      <c r="D266" s="7" t="str">
        <f t="shared" si="12"/>
        <v/>
      </c>
      <c r="E266" s="28" t="str">
        <f t="shared" si="13"/>
        <v/>
      </c>
      <c r="F266" s="7" t="str">
        <f t="shared" si="11"/>
        <v/>
      </c>
    </row>
    <row r="267" spans="1:6" x14ac:dyDescent="0.15">
      <c r="A267" s="7" t="s">
        <v>56</v>
      </c>
      <c r="B267" t="s">
        <v>30</v>
      </c>
      <c r="C267" s="9">
        <v>1021000</v>
      </c>
      <c r="D267" s="7" t="str">
        <f t="shared" si="12"/>
        <v/>
      </c>
      <c r="E267" s="28" t="str">
        <f t="shared" si="13"/>
        <v/>
      </c>
      <c r="F267" s="7" t="str">
        <f t="shared" si="11"/>
        <v/>
      </c>
    </row>
    <row r="268" spans="1:6" x14ac:dyDescent="0.15">
      <c r="A268" s="7" t="s">
        <v>56</v>
      </c>
      <c r="B268" t="s">
        <v>30</v>
      </c>
      <c r="C268" s="9">
        <v>646000</v>
      </c>
      <c r="D268" s="7" t="str">
        <f t="shared" si="12"/>
        <v/>
      </c>
      <c r="E268" s="28" t="str">
        <f t="shared" si="13"/>
        <v/>
      </c>
      <c r="F268" s="7" t="str">
        <f t="shared" si="11"/>
        <v/>
      </c>
    </row>
    <row r="269" spans="1:6" x14ac:dyDescent="0.15">
      <c r="A269" s="7" t="s">
        <v>5</v>
      </c>
      <c r="B269" t="s">
        <v>6</v>
      </c>
      <c r="C269" s="9">
        <v>259000</v>
      </c>
      <c r="D269" s="7" t="str">
        <f t="shared" si="12"/>
        <v/>
      </c>
      <c r="E269" s="28" t="str">
        <f t="shared" si="13"/>
        <v/>
      </c>
      <c r="F269" s="7" t="str">
        <f t="shared" si="11"/>
        <v/>
      </c>
    </row>
    <row r="270" spans="1:6" x14ac:dyDescent="0.15">
      <c r="A270" s="7" t="s">
        <v>47</v>
      </c>
      <c r="B270" t="s">
        <v>48</v>
      </c>
      <c r="C270" s="9">
        <v>193000</v>
      </c>
      <c r="D270" s="7" t="str">
        <f t="shared" si="12"/>
        <v/>
      </c>
      <c r="E270" s="28" t="str">
        <f t="shared" si="13"/>
        <v/>
      </c>
      <c r="F270" s="7" t="str">
        <f t="shared" si="11"/>
        <v/>
      </c>
    </row>
    <row r="271" spans="1:6" x14ac:dyDescent="0.15">
      <c r="A271" s="7" t="s">
        <v>39</v>
      </c>
      <c r="B271" t="s">
        <v>40</v>
      </c>
      <c r="C271" s="9">
        <v>96000</v>
      </c>
      <c r="D271" s="7" t="str">
        <f t="shared" si="12"/>
        <v/>
      </c>
      <c r="E271" s="28" t="str">
        <f t="shared" si="13"/>
        <v/>
      </c>
      <c r="F271" s="7" t="str">
        <f t="shared" si="11"/>
        <v/>
      </c>
    </row>
    <row r="272" spans="1:6" x14ac:dyDescent="0.15">
      <c r="A272" s="7" t="s">
        <v>36</v>
      </c>
      <c r="B272" t="s">
        <v>30</v>
      </c>
      <c r="C272" s="9">
        <v>594000</v>
      </c>
      <c r="D272" s="7" t="str">
        <f t="shared" si="12"/>
        <v/>
      </c>
      <c r="E272" s="28" t="str">
        <f t="shared" si="13"/>
        <v/>
      </c>
      <c r="F272" s="7" t="str">
        <f t="shared" ref="F272:F335" si="14">IF(AND(B272="manuali",C272&lt;1000000),"VERO","")</f>
        <v/>
      </c>
    </row>
    <row r="273" spans="1:6" x14ac:dyDescent="0.15">
      <c r="A273" s="7" t="s">
        <v>49</v>
      </c>
      <c r="B273" t="s">
        <v>30</v>
      </c>
      <c r="C273" s="9">
        <v>282000</v>
      </c>
      <c r="D273" s="7" t="str">
        <f t="shared" si="12"/>
        <v/>
      </c>
      <c r="E273" s="28" t="str">
        <f t="shared" si="13"/>
        <v/>
      </c>
      <c r="F273" s="7" t="str">
        <f t="shared" si="14"/>
        <v/>
      </c>
    </row>
    <row r="274" spans="1:6" x14ac:dyDescent="0.15">
      <c r="A274" s="7" t="s">
        <v>20</v>
      </c>
      <c r="B274" t="s">
        <v>10</v>
      </c>
      <c r="C274" s="9">
        <v>1814000</v>
      </c>
      <c r="D274" s="7" t="str">
        <f t="shared" si="12"/>
        <v/>
      </c>
      <c r="E274" s="28" t="str">
        <f t="shared" si="13"/>
        <v/>
      </c>
      <c r="F274" s="7" t="str">
        <f t="shared" si="14"/>
        <v/>
      </c>
    </row>
    <row r="275" spans="1:6" x14ac:dyDescent="0.15">
      <c r="A275" s="7" t="s">
        <v>18</v>
      </c>
      <c r="B275" t="s">
        <v>19</v>
      </c>
      <c r="C275" s="9">
        <v>193000</v>
      </c>
      <c r="D275" s="7" t="str">
        <f t="shared" si="12"/>
        <v/>
      </c>
      <c r="E275" s="28" t="str">
        <f t="shared" si="13"/>
        <v/>
      </c>
      <c r="F275" s="7" t="str">
        <f t="shared" si="14"/>
        <v/>
      </c>
    </row>
    <row r="276" spans="1:6" x14ac:dyDescent="0.15">
      <c r="A276" s="7" t="s">
        <v>46</v>
      </c>
      <c r="B276" t="s">
        <v>30</v>
      </c>
      <c r="C276" s="9">
        <v>654000</v>
      </c>
      <c r="D276" s="7" t="str">
        <f t="shared" si="12"/>
        <v/>
      </c>
      <c r="E276" s="28" t="str">
        <f t="shared" si="13"/>
        <v/>
      </c>
      <c r="F276" s="7" t="str">
        <f t="shared" si="14"/>
        <v/>
      </c>
    </row>
    <row r="277" spans="1:6" x14ac:dyDescent="0.15">
      <c r="A277" s="7" t="s">
        <v>67</v>
      </c>
      <c r="B277" t="s">
        <v>68</v>
      </c>
      <c r="C277" s="9">
        <v>729000</v>
      </c>
      <c r="D277" s="7" t="str">
        <f t="shared" si="12"/>
        <v/>
      </c>
      <c r="E277" s="28" t="str">
        <f t="shared" si="13"/>
        <v/>
      </c>
      <c r="F277" s="7" t="str">
        <f t="shared" si="14"/>
        <v/>
      </c>
    </row>
    <row r="278" spans="1:6" x14ac:dyDescent="0.15">
      <c r="A278" s="7" t="s">
        <v>21</v>
      </c>
      <c r="B278" t="s">
        <v>22</v>
      </c>
      <c r="C278" s="9">
        <v>632000</v>
      </c>
      <c r="D278" s="7" t="str">
        <f t="shared" si="12"/>
        <v/>
      </c>
      <c r="E278" s="28" t="str">
        <f t="shared" si="13"/>
        <v/>
      </c>
      <c r="F278" s="7" t="str">
        <f t="shared" si="14"/>
        <v/>
      </c>
    </row>
    <row r="279" spans="1:6" x14ac:dyDescent="0.15">
      <c r="A279" s="7" t="s">
        <v>61</v>
      </c>
      <c r="B279" t="s">
        <v>24</v>
      </c>
      <c r="C279" s="9">
        <v>240000</v>
      </c>
      <c r="D279" s="7" t="str">
        <f t="shared" si="12"/>
        <v/>
      </c>
      <c r="E279" s="28" t="str">
        <f t="shared" si="13"/>
        <v/>
      </c>
      <c r="F279" s="7" t="str">
        <f t="shared" si="14"/>
        <v/>
      </c>
    </row>
    <row r="280" spans="1:6" x14ac:dyDescent="0.15">
      <c r="A280" s="7" t="s">
        <v>42</v>
      </c>
      <c r="B280" t="s">
        <v>43</v>
      </c>
      <c r="C280" s="9">
        <v>955000</v>
      </c>
      <c r="D280" s="7" t="str">
        <f t="shared" si="12"/>
        <v/>
      </c>
      <c r="E280" s="28" t="str">
        <f t="shared" si="13"/>
        <v/>
      </c>
      <c r="F280" s="7" t="str">
        <f t="shared" si="14"/>
        <v/>
      </c>
    </row>
    <row r="281" spans="1:6" x14ac:dyDescent="0.15">
      <c r="A281" s="7" t="s">
        <v>44</v>
      </c>
      <c r="B281" t="s">
        <v>38</v>
      </c>
      <c r="C281" s="9">
        <v>1126000</v>
      </c>
      <c r="D281" s="7" t="str">
        <f t="shared" si="12"/>
        <v/>
      </c>
      <c r="E281" s="28" t="str">
        <f t="shared" si="13"/>
        <v/>
      </c>
      <c r="F281" s="7" t="str">
        <f t="shared" si="14"/>
        <v/>
      </c>
    </row>
    <row r="282" spans="1:6" x14ac:dyDescent="0.15">
      <c r="A282" s="7" t="s">
        <v>191</v>
      </c>
      <c r="B282" t="s">
        <v>58</v>
      </c>
      <c r="C282" s="10"/>
      <c r="D282" s="7" t="str">
        <f t="shared" si="12"/>
        <v/>
      </c>
      <c r="E282" s="28" t="str">
        <f t="shared" si="13"/>
        <v/>
      </c>
      <c r="F282" s="7" t="str">
        <f t="shared" si="14"/>
        <v/>
      </c>
    </row>
    <row r="283" spans="1:6" x14ac:dyDescent="0.15">
      <c r="A283" s="7" t="s">
        <v>33</v>
      </c>
      <c r="B283" t="s">
        <v>6</v>
      </c>
      <c r="C283" s="9">
        <v>297000</v>
      </c>
      <c r="D283" s="7" t="str">
        <f t="shared" si="12"/>
        <v/>
      </c>
      <c r="E283" s="28" t="str">
        <f t="shared" si="13"/>
        <v/>
      </c>
      <c r="F283" s="7" t="str">
        <f t="shared" si="14"/>
        <v/>
      </c>
    </row>
    <row r="284" spans="1:6" x14ac:dyDescent="0.15">
      <c r="A284" s="7" t="s">
        <v>20</v>
      </c>
      <c r="B284" t="s">
        <v>10</v>
      </c>
      <c r="C284" s="9">
        <v>646000</v>
      </c>
      <c r="D284" s="7" t="str">
        <f t="shared" si="12"/>
        <v/>
      </c>
      <c r="E284" s="28" t="str">
        <f t="shared" si="13"/>
        <v/>
      </c>
      <c r="F284" s="7" t="str">
        <f t="shared" si="14"/>
        <v/>
      </c>
    </row>
    <row r="285" spans="1:6" x14ac:dyDescent="0.15">
      <c r="A285" s="7" t="s">
        <v>45</v>
      </c>
      <c r="B285" t="s">
        <v>10</v>
      </c>
      <c r="C285" s="9">
        <v>714000</v>
      </c>
      <c r="D285" s="7" t="str">
        <f t="shared" si="12"/>
        <v/>
      </c>
      <c r="E285" s="28" t="str">
        <f t="shared" si="13"/>
        <v/>
      </c>
      <c r="F285" s="7" t="str">
        <f t="shared" si="14"/>
        <v/>
      </c>
    </row>
    <row r="286" spans="1:6" x14ac:dyDescent="0.15">
      <c r="A286" s="7" t="s">
        <v>50</v>
      </c>
      <c r="B286" t="s">
        <v>51</v>
      </c>
      <c r="C286" s="9">
        <v>807000</v>
      </c>
      <c r="D286" s="7" t="str">
        <f t="shared" si="12"/>
        <v/>
      </c>
      <c r="E286" s="28" t="str">
        <f t="shared" si="13"/>
        <v/>
      </c>
      <c r="F286" s="7" t="str">
        <f t="shared" si="14"/>
        <v/>
      </c>
    </row>
    <row r="287" spans="1:6" x14ac:dyDescent="0.15">
      <c r="A287" s="7" t="s">
        <v>21</v>
      </c>
      <c r="B287" t="s">
        <v>22</v>
      </c>
      <c r="C287" s="9">
        <v>591000</v>
      </c>
      <c r="D287" s="7" t="str">
        <f t="shared" si="12"/>
        <v/>
      </c>
      <c r="E287" s="28" t="str">
        <f t="shared" si="13"/>
        <v/>
      </c>
      <c r="F287" s="7" t="str">
        <f t="shared" si="14"/>
        <v/>
      </c>
    </row>
    <row r="288" spans="1:6" x14ac:dyDescent="0.15">
      <c r="A288" s="7" t="s">
        <v>60</v>
      </c>
      <c r="B288" t="s">
        <v>38</v>
      </c>
      <c r="C288" s="9">
        <v>918000</v>
      </c>
      <c r="D288" s="7" t="str">
        <f t="shared" si="12"/>
        <v/>
      </c>
      <c r="E288" s="28" t="str">
        <f t="shared" si="13"/>
        <v/>
      </c>
      <c r="F288" s="7" t="str">
        <f t="shared" si="14"/>
        <v/>
      </c>
    </row>
    <row r="289" spans="1:6" x14ac:dyDescent="0.15">
      <c r="A289" s="7" t="s">
        <v>69</v>
      </c>
      <c r="B289" t="s">
        <v>51</v>
      </c>
      <c r="C289" s="9">
        <v>1265000</v>
      </c>
      <c r="D289" s="7" t="str">
        <f t="shared" si="12"/>
        <v/>
      </c>
      <c r="E289" s="28" t="str">
        <f t="shared" si="13"/>
        <v/>
      </c>
      <c r="F289" s="7" t="str">
        <f t="shared" si="14"/>
        <v/>
      </c>
    </row>
    <row r="290" spans="1:6" x14ac:dyDescent="0.15">
      <c r="A290" s="7" t="s">
        <v>69</v>
      </c>
      <c r="B290" t="s">
        <v>51</v>
      </c>
      <c r="C290" s="9">
        <v>256000</v>
      </c>
      <c r="D290" s="7" t="str">
        <f t="shared" si="12"/>
        <v/>
      </c>
      <c r="E290" s="28" t="str">
        <f t="shared" si="13"/>
        <v/>
      </c>
      <c r="F290" s="7" t="str">
        <f t="shared" si="14"/>
        <v/>
      </c>
    </row>
    <row r="291" spans="1:6" x14ac:dyDescent="0.15">
      <c r="A291" s="7" t="s">
        <v>57</v>
      </c>
      <c r="B291" t="s">
        <v>58</v>
      </c>
      <c r="C291" s="9">
        <v>371000</v>
      </c>
      <c r="D291" s="7" t="str">
        <f t="shared" si="12"/>
        <v/>
      </c>
      <c r="E291" s="28" t="str">
        <f t="shared" si="13"/>
        <v/>
      </c>
      <c r="F291" s="7" t="str">
        <f t="shared" si="14"/>
        <v/>
      </c>
    </row>
    <row r="292" spans="1:6" x14ac:dyDescent="0.15">
      <c r="A292" s="7" t="s">
        <v>53</v>
      </c>
      <c r="B292" t="s">
        <v>54</v>
      </c>
      <c r="C292" s="9">
        <v>457000</v>
      </c>
      <c r="D292" s="7" t="str">
        <f t="shared" si="12"/>
        <v/>
      </c>
      <c r="E292" s="28" t="str">
        <f t="shared" si="13"/>
        <v/>
      </c>
      <c r="F292" s="7" t="str">
        <f t="shared" si="14"/>
        <v/>
      </c>
    </row>
    <row r="293" spans="1:6" x14ac:dyDescent="0.15">
      <c r="A293" s="7" t="s">
        <v>5</v>
      </c>
      <c r="B293" t="s">
        <v>6</v>
      </c>
      <c r="C293" s="9">
        <v>642000</v>
      </c>
      <c r="D293" s="7" t="str">
        <f t="shared" si="12"/>
        <v>trovato</v>
      </c>
      <c r="E293" s="28" t="str">
        <f t="shared" si="13"/>
        <v/>
      </c>
      <c r="F293" s="7" t="str">
        <f t="shared" si="14"/>
        <v/>
      </c>
    </row>
    <row r="294" spans="1:6" x14ac:dyDescent="0.15">
      <c r="A294" s="7" t="s">
        <v>31</v>
      </c>
      <c r="B294" t="s">
        <v>6</v>
      </c>
      <c r="C294" s="9">
        <v>1571000</v>
      </c>
      <c r="D294" s="7" t="str">
        <f t="shared" si="12"/>
        <v>trovato</v>
      </c>
      <c r="E294" s="28" t="str">
        <f t="shared" si="13"/>
        <v/>
      </c>
      <c r="F294" s="7" t="str">
        <f t="shared" si="14"/>
        <v/>
      </c>
    </row>
    <row r="295" spans="1:6" x14ac:dyDescent="0.15">
      <c r="A295" s="7" t="s">
        <v>31</v>
      </c>
      <c r="B295" t="s">
        <v>6</v>
      </c>
      <c r="C295" s="9">
        <v>756000</v>
      </c>
      <c r="D295" s="7" t="str">
        <f t="shared" si="12"/>
        <v>trovato</v>
      </c>
      <c r="E295" s="28" t="str">
        <f t="shared" si="13"/>
        <v/>
      </c>
      <c r="F295" s="7" t="str">
        <f t="shared" si="14"/>
        <v/>
      </c>
    </row>
    <row r="296" spans="1:6" x14ac:dyDescent="0.15">
      <c r="A296" s="7" t="s">
        <v>47</v>
      </c>
      <c r="B296" t="s">
        <v>48</v>
      </c>
      <c r="C296" s="9">
        <v>1571000</v>
      </c>
      <c r="D296" s="7" t="str">
        <f t="shared" si="12"/>
        <v/>
      </c>
      <c r="E296" s="28" t="str">
        <f t="shared" si="13"/>
        <v/>
      </c>
      <c r="F296" s="7" t="str">
        <f t="shared" si="14"/>
        <v/>
      </c>
    </row>
    <row r="297" spans="1:6" x14ac:dyDescent="0.15">
      <c r="A297" s="7" t="s">
        <v>25</v>
      </c>
      <c r="B297" t="s">
        <v>26</v>
      </c>
      <c r="C297" s="9">
        <v>2716000</v>
      </c>
      <c r="D297" s="7" t="str">
        <f t="shared" si="12"/>
        <v/>
      </c>
      <c r="E297" s="28" t="str">
        <f t="shared" si="13"/>
        <v/>
      </c>
      <c r="F297" s="7" t="str">
        <f t="shared" si="14"/>
        <v/>
      </c>
    </row>
    <row r="298" spans="1:6" x14ac:dyDescent="0.15">
      <c r="A298" s="7" t="s">
        <v>65</v>
      </c>
      <c r="B298" t="s">
        <v>64</v>
      </c>
      <c r="C298" s="9">
        <v>640000</v>
      </c>
      <c r="D298" s="7" t="str">
        <f t="shared" si="12"/>
        <v/>
      </c>
      <c r="E298" s="28" t="str">
        <f t="shared" si="13"/>
        <v/>
      </c>
      <c r="F298" s="7" t="str">
        <f t="shared" si="14"/>
        <v/>
      </c>
    </row>
    <row r="299" spans="1:6" x14ac:dyDescent="0.15">
      <c r="A299" s="7" t="s">
        <v>66</v>
      </c>
      <c r="B299" t="s">
        <v>51</v>
      </c>
      <c r="C299" s="9">
        <v>255000</v>
      </c>
      <c r="D299" s="7" t="str">
        <f t="shared" si="12"/>
        <v/>
      </c>
      <c r="E299" s="28" t="str">
        <f t="shared" si="13"/>
        <v/>
      </c>
      <c r="F299" s="7" t="str">
        <f t="shared" si="14"/>
        <v/>
      </c>
    </row>
    <row r="300" spans="1:6" x14ac:dyDescent="0.15">
      <c r="A300" s="7" t="s">
        <v>33</v>
      </c>
      <c r="B300" t="s">
        <v>6</v>
      </c>
      <c r="C300" s="9">
        <v>413000</v>
      </c>
      <c r="D300" s="7" t="str">
        <f t="shared" si="12"/>
        <v>trovato</v>
      </c>
      <c r="E300" s="28" t="str">
        <f t="shared" si="13"/>
        <v/>
      </c>
      <c r="F300" s="7" t="str">
        <f t="shared" si="14"/>
        <v/>
      </c>
    </row>
    <row r="301" spans="1:6" x14ac:dyDescent="0.15">
      <c r="A301" s="7" t="s">
        <v>9</v>
      </c>
      <c r="B301" t="s">
        <v>10</v>
      </c>
      <c r="C301" s="9">
        <v>361000</v>
      </c>
      <c r="D301" s="7" t="str">
        <f t="shared" si="12"/>
        <v/>
      </c>
      <c r="E301" s="28" t="str">
        <f t="shared" si="13"/>
        <v/>
      </c>
      <c r="F301" s="7" t="str">
        <f t="shared" si="14"/>
        <v/>
      </c>
    </row>
    <row r="302" spans="1:6" x14ac:dyDescent="0.15">
      <c r="A302" s="7" t="s">
        <v>65</v>
      </c>
      <c r="B302" t="s">
        <v>64</v>
      </c>
      <c r="C302" s="9">
        <v>544000</v>
      </c>
      <c r="D302" s="7" t="str">
        <f t="shared" si="12"/>
        <v/>
      </c>
      <c r="E302" s="28" t="str">
        <f t="shared" si="13"/>
        <v/>
      </c>
      <c r="F302" s="7" t="str">
        <f t="shared" si="14"/>
        <v/>
      </c>
    </row>
    <row r="303" spans="1:6" x14ac:dyDescent="0.15">
      <c r="A303" s="7" t="s">
        <v>9</v>
      </c>
      <c r="B303" t="s">
        <v>10</v>
      </c>
      <c r="C303" s="9">
        <v>678000</v>
      </c>
      <c r="D303" s="7" t="str">
        <f t="shared" si="12"/>
        <v/>
      </c>
      <c r="E303" s="28" t="str">
        <f t="shared" si="13"/>
        <v/>
      </c>
      <c r="F303" s="7" t="str">
        <f t="shared" si="14"/>
        <v/>
      </c>
    </row>
    <row r="304" spans="1:6" x14ac:dyDescent="0.15">
      <c r="A304" s="7" t="s">
        <v>70</v>
      </c>
      <c r="B304" t="s">
        <v>58</v>
      </c>
      <c r="C304" s="9">
        <v>1054000</v>
      </c>
      <c r="D304" s="7" t="str">
        <f t="shared" si="12"/>
        <v/>
      </c>
      <c r="E304" s="28" t="str">
        <f t="shared" si="13"/>
        <v/>
      </c>
      <c r="F304" s="7" t="str">
        <f t="shared" si="14"/>
        <v/>
      </c>
    </row>
    <row r="305" spans="1:6" x14ac:dyDescent="0.15">
      <c r="A305" s="7" t="s">
        <v>70</v>
      </c>
      <c r="B305" t="s">
        <v>58</v>
      </c>
      <c r="C305" s="9">
        <v>482000</v>
      </c>
      <c r="D305" s="7" t="str">
        <f t="shared" si="12"/>
        <v/>
      </c>
      <c r="E305" s="28" t="str">
        <f t="shared" si="13"/>
        <v/>
      </c>
      <c r="F305" s="7" t="str">
        <f t="shared" si="14"/>
        <v/>
      </c>
    </row>
    <row r="306" spans="1:6" x14ac:dyDescent="0.15">
      <c r="A306" s="7" t="s">
        <v>73</v>
      </c>
      <c r="B306" t="s">
        <v>64</v>
      </c>
      <c r="C306" s="9">
        <v>722000</v>
      </c>
      <c r="D306" s="7" t="str">
        <f t="shared" si="12"/>
        <v/>
      </c>
      <c r="E306" s="28" t="str">
        <f t="shared" si="13"/>
        <v/>
      </c>
      <c r="F306" s="7" t="str">
        <f t="shared" si="14"/>
        <v/>
      </c>
    </row>
    <row r="307" spans="1:6" x14ac:dyDescent="0.15">
      <c r="A307" s="7" t="s">
        <v>71</v>
      </c>
      <c r="B307" t="s">
        <v>72</v>
      </c>
      <c r="C307" s="9">
        <v>269000</v>
      </c>
      <c r="D307" s="7" t="str">
        <f t="shared" si="12"/>
        <v/>
      </c>
      <c r="E307" s="28" t="str">
        <f t="shared" si="13"/>
        <v/>
      </c>
      <c r="F307" s="7" t="str">
        <f t="shared" si="14"/>
        <v/>
      </c>
    </row>
    <row r="308" spans="1:6" x14ac:dyDescent="0.15">
      <c r="A308" s="7" t="s">
        <v>27</v>
      </c>
      <c r="B308" t="s">
        <v>28</v>
      </c>
      <c r="C308" s="9">
        <v>371000</v>
      </c>
      <c r="D308" s="7" t="str">
        <f t="shared" si="12"/>
        <v/>
      </c>
      <c r="E308" s="28" t="str">
        <f t="shared" si="13"/>
        <v/>
      </c>
      <c r="F308" s="7" t="str">
        <f t="shared" si="14"/>
        <v/>
      </c>
    </row>
    <row r="309" spans="1:6" x14ac:dyDescent="0.15">
      <c r="A309" s="7" t="s">
        <v>37</v>
      </c>
      <c r="B309" t="s">
        <v>38</v>
      </c>
      <c r="C309" s="9">
        <v>462000</v>
      </c>
      <c r="D309" s="7" t="str">
        <f t="shared" si="12"/>
        <v/>
      </c>
      <c r="E309" s="28" t="str">
        <f t="shared" si="13"/>
        <v/>
      </c>
      <c r="F309" s="7" t="str">
        <f t="shared" si="14"/>
        <v/>
      </c>
    </row>
    <row r="310" spans="1:6" x14ac:dyDescent="0.15">
      <c r="A310" s="7" t="s">
        <v>60</v>
      </c>
      <c r="B310" t="s">
        <v>38</v>
      </c>
      <c r="C310" s="9">
        <v>541000</v>
      </c>
      <c r="D310" s="7" t="str">
        <f t="shared" si="12"/>
        <v/>
      </c>
      <c r="E310" s="28" t="str">
        <f t="shared" si="13"/>
        <v/>
      </c>
      <c r="F310" s="7" t="str">
        <f t="shared" si="14"/>
        <v/>
      </c>
    </row>
    <row r="311" spans="1:6" x14ac:dyDescent="0.15">
      <c r="A311" s="7" t="s">
        <v>23</v>
      </c>
      <c r="B311" t="s">
        <v>24</v>
      </c>
      <c r="C311" s="9">
        <v>648000</v>
      </c>
      <c r="D311" s="7" t="str">
        <f t="shared" si="12"/>
        <v/>
      </c>
      <c r="E311" s="28" t="str">
        <f t="shared" si="13"/>
        <v/>
      </c>
      <c r="F311" s="7" t="str">
        <f t="shared" si="14"/>
        <v/>
      </c>
    </row>
    <row r="312" spans="1:6" x14ac:dyDescent="0.15">
      <c r="A312" s="7" t="s">
        <v>71</v>
      </c>
      <c r="B312" t="s">
        <v>72</v>
      </c>
      <c r="C312" s="9">
        <v>644000</v>
      </c>
      <c r="D312" s="7" t="str">
        <f t="shared" si="12"/>
        <v/>
      </c>
      <c r="E312" s="28" t="str">
        <f t="shared" si="13"/>
        <v/>
      </c>
      <c r="F312" s="7" t="str">
        <f t="shared" si="14"/>
        <v/>
      </c>
    </row>
    <row r="313" spans="1:6" x14ac:dyDescent="0.15">
      <c r="A313" s="7" t="s">
        <v>25</v>
      </c>
      <c r="B313" t="s">
        <v>26</v>
      </c>
      <c r="C313" s="9">
        <v>902000</v>
      </c>
      <c r="D313" s="7" t="str">
        <f t="shared" si="12"/>
        <v/>
      </c>
      <c r="E313" s="28" t="str">
        <f t="shared" si="13"/>
        <v/>
      </c>
      <c r="F313" s="7" t="str">
        <f t="shared" si="14"/>
        <v/>
      </c>
    </row>
    <row r="314" spans="1:6" x14ac:dyDescent="0.15">
      <c r="A314" s="7" t="s">
        <v>73</v>
      </c>
      <c r="B314" t="s">
        <v>64</v>
      </c>
      <c r="C314" s="9">
        <v>722000</v>
      </c>
      <c r="D314" s="7" t="str">
        <f t="shared" si="12"/>
        <v/>
      </c>
      <c r="E314" s="28" t="str">
        <f t="shared" si="13"/>
        <v/>
      </c>
      <c r="F314" s="7" t="str">
        <f t="shared" si="14"/>
        <v/>
      </c>
    </row>
    <row r="315" spans="1:6" x14ac:dyDescent="0.15">
      <c r="A315" s="7" t="s">
        <v>62</v>
      </c>
      <c r="B315" t="s">
        <v>28</v>
      </c>
      <c r="C315" s="9">
        <v>1457000</v>
      </c>
      <c r="D315" s="7" t="str">
        <f t="shared" si="12"/>
        <v/>
      </c>
      <c r="E315" s="28" t="str">
        <f t="shared" si="13"/>
        <v/>
      </c>
      <c r="F315" s="7" t="str">
        <f t="shared" si="14"/>
        <v/>
      </c>
    </row>
    <row r="316" spans="1:6" x14ac:dyDescent="0.15">
      <c r="A316" s="7" t="s">
        <v>33</v>
      </c>
      <c r="B316" t="s">
        <v>6</v>
      </c>
      <c r="C316" s="9">
        <v>1786000</v>
      </c>
      <c r="D316" s="7" t="str">
        <f t="shared" si="12"/>
        <v>trovato</v>
      </c>
      <c r="E316" s="28" t="str">
        <f t="shared" si="13"/>
        <v/>
      </c>
      <c r="F316" s="7" t="str">
        <f t="shared" si="14"/>
        <v/>
      </c>
    </row>
    <row r="317" spans="1:6" x14ac:dyDescent="0.15">
      <c r="A317" s="7" t="s">
        <v>32</v>
      </c>
      <c r="B317" t="s">
        <v>22</v>
      </c>
      <c r="C317" s="10"/>
      <c r="D317" s="7" t="str">
        <f t="shared" si="12"/>
        <v/>
      </c>
      <c r="E317" s="28" t="str">
        <f t="shared" si="13"/>
        <v/>
      </c>
      <c r="F317" s="7" t="str">
        <f t="shared" si="14"/>
        <v/>
      </c>
    </row>
    <row r="318" spans="1:6" x14ac:dyDescent="0.15">
      <c r="A318" s="7" t="s">
        <v>74</v>
      </c>
      <c r="B318" t="s">
        <v>38</v>
      </c>
      <c r="C318" s="9">
        <v>85000</v>
      </c>
      <c r="D318" s="7" t="str">
        <f t="shared" si="12"/>
        <v/>
      </c>
      <c r="E318" s="28" t="str">
        <f t="shared" si="13"/>
        <v/>
      </c>
      <c r="F318" s="7" t="str">
        <f t="shared" si="14"/>
        <v/>
      </c>
    </row>
    <row r="319" spans="1:6" x14ac:dyDescent="0.15">
      <c r="A319" s="7" t="s">
        <v>74</v>
      </c>
      <c r="B319" t="s">
        <v>38</v>
      </c>
      <c r="C319" s="9">
        <v>84000</v>
      </c>
      <c r="D319" s="7" t="str">
        <f t="shared" si="12"/>
        <v/>
      </c>
      <c r="E319" s="28" t="str">
        <f t="shared" si="13"/>
        <v/>
      </c>
      <c r="F319" s="7" t="str">
        <f t="shared" si="14"/>
        <v/>
      </c>
    </row>
    <row r="320" spans="1:6" x14ac:dyDescent="0.15">
      <c r="A320" s="7" t="s">
        <v>63</v>
      </c>
      <c r="B320" t="s">
        <v>64</v>
      </c>
      <c r="C320" s="9">
        <v>115000</v>
      </c>
      <c r="D320" s="7" t="str">
        <f t="shared" si="12"/>
        <v/>
      </c>
      <c r="E320" s="28" t="str">
        <f t="shared" si="13"/>
        <v/>
      </c>
      <c r="F320" s="7" t="str">
        <f t="shared" si="14"/>
        <v/>
      </c>
    </row>
    <row r="321" spans="1:6" x14ac:dyDescent="0.15">
      <c r="A321" s="7" t="s">
        <v>61</v>
      </c>
      <c r="B321" t="s">
        <v>6</v>
      </c>
      <c r="C321" s="9">
        <v>152000</v>
      </c>
      <c r="D321" s="7" t="str">
        <f t="shared" si="12"/>
        <v/>
      </c>
      <c r="E321" s="28" t="str">
        <f t="shared" si="13"/>
        <v/>
      </c>
      <c r="F321" s="7" t="str">
        <f t="shared" si="14"/>
        <v/>
      </c>
    </row>
    <row r="322" spans="1:6" x14ac:dyDescent="0.15">
      <c r="A322" s="7" t="s">
        <v>41</v>
      </c>
      <c r="B322" t="s">
        <v>6</v>
      </c>
      <c r="C322" s="9">
        <v>82000</v>
      </c>
      <c r="D322" s="7" t="str">
        <f t="shared" si="12"/>
        <v/>
      </c>
      <c r="E322" s="28" t="str">
        <f t="shared" si="13"/>
        <v/>
      </c>
      <c r="F322" s="7" t="str">
        <f t="shared" si="14"/>
        <v/>
      </c>
    </row>
    <row r="323" spans="1:6" x14ac:dyDescent="0.15">
      <c r="A323" s="7" t="s">
        <v>193</v>
      </c>
      <c r="B323" t="s">
        <v>38</v>
      </c>
      <c r="C323" s="9">
        <v>84000</v>
      </c>
      <c r="D323" s="7" t="str">
        <f t="shared" si="12"/>
        <v/>
      </c>
      <c r="E323" s="28">
        <f t="shared" si="13"/>
        <v>18480</v>
      </c>
      <c r="F323" s="7" t="str">
        <f t="shared" si="14"/>
        <v/>
      </c>
    </row>
    <row r="324" spans="1:6" x14ac:dyDescent="0.15">
      <c r="A324" s="7" t="s">
        <v>62</v>
      </c>
      <c r="B324" t="s">
        <v>28</v>
      </c>
      <c r="C324" s="9">
        <v>115000</v>
      </c>
      <c r="D324" s="7" t="str">
        <f t="shared" si="12"/>
        <v/>
      </c>
      <c r="E324" s="28" t="str">
        <f t="shared" si="13"/>
        <v/>
      </c>
      <c r="F324" s="7" t="str">
        <f t="shared" si="14"/>
        <v/>
      </c>
    </row>
    <row r="325" spans="1:6" x14ac:dyDescent="0.15">
      <c r="A325" s="7" t="s">
        <v>25</v>
      </c>
      <c r="B325" t="s">
        <v>26</v>
      </c>
      <c r="C325" s="9">
        <v>153000</v>
      </c>
      <c r="D325" s="7" t="str">
        <f t="shared" si="12"/>
        <v/>
      </c>
      <c r="E325" s="28" t="str">
        <f t="shared" si="13"/>
        <v/>
      </c>
      <c r="F325" s="7" t="str">
        <f t="shared" si="14"/>
        <v/>
      </c>
    </row>
    <row r="326" spans="1:6" x14ac:dyDescent="0.15">
      <c r="A326" s="7" t="s">
        <v>13</v>
      </c>
      <c r="B326" t="s">
        <v>14</v>
      </c>
      <c r="C326" s="9">
        <v>80000</v>
      </c>
      <c r="D326" s="7" t="str">
        <f t="shared" ref="D326:D340" si="15">IF(AND(B326="abbigliamento",C326&gt;300000),"trovato","")</f>
        <v/>
      </c>
      <c r="E326" s="28" t="str">
        <f t="shared" si="13"/>
        <v/>
      </c>
      <c r="F326" s="7" t="str">
        <f t="shared" si="14"/>
        <v/>
      </c>
    </row>
    <row r="327" spans="1:6" x14ac:dyDescent="0.15">
      <c r="A327" s="7" t="s">
        <v>34</v>
      </c>
      <c r="B327" t="s">
        <v>35</v>
      </c>
      <c r="C327" s="9">
        <v>102000</v>
      </c>
      <c r="D327" s="7" t="str">
        <f t="shared" si="15"/>
        <v/>
      </c>
      <c r="E327" s="28" t="str">
        <f t="shared" si="13"/>
        <v/>
      </c>
      <c r="F327" s="7" t="str">
        <f t="shared" si="14"/>
        <v/>
      </c>
    </row>
    <row r="328" spans="1:6" x14ac:dyDescent="0.15">
      <c r="A328" s="7" t="s">
        <v>193</v>
      </c>
      <c r="B328" t="s">
        <v>38</v>
      </c>
      <c r="C328" s="10">
        <v>0</v>
      </c>
      <c r="D328" s="7" t="str">
        <f t="shared" si="15"/>
        <v/>
      </c>
      <c r="E328" s="28">
        <f t="shared" ref="E328:E340" si="16">IF(A328="HHB",C328*(22/100),"")</f>
        <v>0</v>
      </c>
      <c r="F328" s="7" t="str">
        <f t="shared" si="14"/>
        <v/>
      </c>
    </row>
    <row r="329" spans="1:6" x14ac:dyDescent="0.15">
      <c r="A329" s="7" t="s">
        <v>15</v>
      </c>
      <c r="B329" t="s">
        <v>16</v>
      </c>
      <c r="C329" s="9">
        <v>198000</v>
      </c>
      <c r="D329" s="7" t="str">
        <f t="shared" si="15"/>
        <v/>
      </c>
      <c r="E329" s="28" t="str">
        <f t="shared" si="16"/>
        <v/>
      </c>
      <c r="F329" s="7" t="str">
        <f t="shared" si="14"/>
        <v/>
      </c>
    </row>
    <row r="330" spans="1:6" x14ac:dyDescent="0.15">
      <c r="A330" s="7" t="s">
        <v>55</v>
      </c>
      <c r="B330" t="s">
        <v>35</v>
      </c>
      <c r="C330" s="9">
        <v>233000</v>
      </c>
      <c r="D330" s="7" t="str">
        <f t="shared" si="15"/>
        <v/>
      </c>
      <c r="E330" s="28" t="str">
        <f t="shared" si="16"/>
        <v/>
      </c>
      <c r="F330" s="7" t="str">
        <f t="shared" si="14"/>
        <v/>
      </c>
    </row>
    <row r="331" spans="1:6" x14ac:dyDescent="0.15">
      <c r="A331" s="7" t="s">
        <v>7</v>
      </c>
      <c r="B331" t="s">
        <v>8</v>
      </c>
      <c r="C331" s="9">
        <v>279000</v>
      </c>
      <c r="D331" s="7" t="str">
        <f t="shared" si="15"/>
        <v/>
      </c>
      <c r="E331" s="28" t="str">
        <f t="shared" si="16"/>
        <v/>
      </c>
      <c r="F331" s="7" t="str">
        <f t="shared" si="14"/>
        <v>VERO</v>
      </c>
    </row>
    <row r="332" spans="1:6" x14ac:dyDescent="0.15">
      <c r="A332" s="7" t="s">
        <v>62</v>
      </c>
      <c r="B332" t="s">
        <v>48</v>
      </c>
      <c r="C332" s="9">
        <v>298000</v>
      </c>
      <c r="D332" s="7" t="str">
        <f t="shared" si="15"/>
        <v/>
      </c>
      <c r="E332" s="28" t="str">
        <f t="shared" si="16"/>
        <v/>
      </c>
      <c r="F332" s="7" t="str">
        <f t="shared" si="14"/>
        <v/>
      </c>
    </row>
    <row r="333" spans="1:6" x14ac:dyDescent="0.15">
      <c r="A333" s="7" t="s">
        <v>67</v>
      </c>
      <c r="B333" t="s">
        <v>68</v>
      </c>
      <c r="C333" s="9">
        <v>478000</v>
      </c>
      <c r="D333" s="7" t="str">
        <f t="shared" si="15"/>
        <v/>
      </c>
      <c r="E333" s="28" t="str">
        <f t="shared" si="16"/>
        <v/>
      </c>
      <c r="F333" s="7" t="str">
        <f t="shared" si="14"/>
        <v/>
      </c>
    </row>
    <row r="334" spans="1:6" x14ac:dyDescent="0.15">
      <c r="A334" s="7" t="s">
        <v>44</v>
      </c>
      <c r="B334" t="s">
        <v>38</v>
      </c>
      <c r="C334" s="9">
        <v>626000</v>
      </c>
      <c r="D334" s="7" t="str">
        <f t="shared" si="15"/>
        <v/>
      </c>
      <c r="E334" s="28" t="str">
        <f t="shared" si="16"/>
        <v/>
      </c>
      <c r="F334" s="7" t="str">
        <f t="shared" si="14"/>
        <v/>
      </c>
    </row>
    <row r="335" spans="1:6" x14ac:dyDescent="0.15">
      <c r="A335" s="7" t="s">
        <v>11</v>
      </c>
      <c r="B335" t="s">
        <v>12</v>
      </c>
      <c r="C335" s="9">
        <v>757000</v>
      </c>
      <c r="D335" s="7" t="str">
        <f t="shared" si="15"/>
        <v/>
      </c>
      <c r="E335" s="28" t="str">
        <f t="shared" si="16"/>
        <v/>
      </c>
      <c r="F335" s="7" t="str">
        <f t="shared" si="14"/>
        <v/>
      </c>
    </row>
    <row r="336" spans="1:6" x14ac:dyDescent="0.15">
      <c r="A336" s="7" t="s">
        <v>17</v>
      </c>
      <c r="B336" t="s">
        <v>12</v>
      </c>
      <c r="C336" s="9">
        <v>1128000</v>
      </c>
      <c r="D336" s="7" t="str">
        <f t="shared" si="15"/>
        <v/>
      </c>
      <c r="E336" s="28" t="str">
        <f t="shared" si="16"/>
        <v/>
      </c>
      <c r="F336" s="7" t="str">
        <f t="shared" ref="F336:F340" si="17">IF(AND(B336="manuali",C336&lt;1000000),"VERO","")</f>
        <v/>
      </c>
    </row>
    <row r="337" spans="1:6" x14ac:dyDescent="0.15">
      <c r="A337" s="7" t="s">
        <v>52</v>
      </c>
      <c r="B337" t="s">
        <v>22</v>
      </c>
      <c r="C337" s="9">
        <v>1527000</v>
      </c>
      <c r="D337" s="7" t="str">
        <f t="shared" si="15"/>
        <v/>
      </c>
      <c r="E337" s="28" t="str">
        <f t="shared" si="16"/>
        <v/>
      </c>
      <c r="F337" s="7" t="str">
        <f t="shared" si="17"/>
        <v/>
      </c>
    </row>
    <row r="338" spans="1:6" x14ac:dyDescent="0.15">
      <c r="A338" s="7" t="s">
        <v>31</v>
      </c>
      <c r="B338" t="s">
        <v>6</v>
      </c>
      <c r="C338" s="9">
        <v>4134000</v>
      </c>
      <c r="D338" s="7" t="str">
        <f t="shared" si="15"/>
        <v>trovato</v>
      </c>
      <c r="E338" s="28" t="str">
        <f t="shared" si="16"/>
        <v/>
      </c>
      <c r="F338" s="7" t="str">
        <f t="shared" si="17"/>
        <v/>
      </c>
    </row>
    <row r="339" spans="1:6" x14ac:dyDescent="0.15">
      <c r="A339" s="7" t="s">
        <v>25</v>
      </c>
      <c r="B339" t="s">
        <v>26</v>
      </c>
      <c r="C339" s="9">
        <v>6850000</v>
      </c>
      <c r="D339" s="7" t="str">
        <f t="shared" si="15"/>
        <v/>
      </c>
      <c r="E339" s="28" t="str">
        <f t="shared" si="16"/>
        <v/>
      </c>
      <c r="F339" s="7" t="str">
        <f t="shared" si="17"/>
        <v/>
      </c>
    </row>
    <row r="340" spans="1:6" x14ac:dyDescent="0.15">
      <c r="A340" s="7" t="s">
        <v>9</v>
      </c>
      <c r="B340" t="s">
        <v>10</v>
      </c>
      <c r="C340" s="9">
        <v>11712000</v>
      </c>
      <c r="D340" s="7" t="str">
        <f t="shared" si="15"/>
        <v/>
      </c>
      <c r="E340" s="28" t="str">
        <f t="shared" si="16"/>
        <v/>
      </c>
      <c r="F340" s="7" t="str">
        <f t="shared" si="17"/>
        <v/>
      </c>
    </row>
  </sheetData>
  <mergeCells count="2">
    <mergeCell ref="A1:C1"/>
    <mergeCell ref="A3:C3"/>
  </mergeCells>
  <phoneticPr fontId="7" type="noConversion"/>
  <conditionalFormatting sqref="B1:B1048576">
    <cfRule type="cellIs" dxfId="0" priority="1" operator="equal">
      <formula>"ufficio"</formula>
    </cfRule>
  </conditionalFormatting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80"/>
  <sheetViews>
    <sheetView zoomScaleNormal="100" workbookViewId="0">
      <selection activeCell="H3" sqref="H3"/>
    </sheetView>
  </sheetViews>
  <sheetFormatPr baseColWidth="10" defaultColWidth="8.83203125" defaultRowHeight="13" x14ac:dyDescent="0.15"/>
  <cols>
    <col min="1" max="1" width="9.83203125" bestFit="1" customWidth="1"/>
    <col min="2" max="2" width="28.1640625" bestFit="1" customWidth="1"/>
    <col min="3" max="3" width="21.33203125" bestFit="1" customWidth="1"/>
    <col min="4" max="4" width="18" style="4" bestFit="1" customWidth="1"/>
    <col min="5" max="5" width="21.6640625" style="3" bestFit="1" customWidth="1"/>
    <col min="6" max="6" width="2.5" customWidth="1"/>
    <col min="7" max="7" width="51.6640625" bestFit="1" customWidth="1"/>
    <col min="8" max="8" width="16.6640625" customWidth="1"/>
  </cols>
  <sheetData>
    <row r="1" spans="1:8" s="1" customFormat="1" ht="18" thickBot="1" x14ac:dyDescent="0.25">
      <c r="A1" s="5" t="s">
        <v>0</v>
      </c>
      <c r="B1" s="5" t="s">
        <v>1</v>
      </c>
      <c r="C1" s="5" t="s">
        <v>2</v>
      </c>
      <c r="D1" s="6" t="s">
        <v>3</v>
      </c>
      <c r="E1" s="6" t="s">
        <v>4</v>
      </c>
      <c r="G1" s="8" t="s">
        <v>195</v>
      </c>
    </row>
    <row r="2" spans="1:8" ht="15" thickTop="1" thickBot="1" x14ac:dyDescent="0.2">
      <c r="A2" s="2">
        <v>36529</v>
      </c>
      <c r="B2" t="s">
        <v>61</v>
      </c>
      <c r="C2" t="s">
        <v>6</v>
      </c>
      <c r="D2" s="3">
        <v>50000</v>
      </c>
      <c r="E2" s="3">
        <v>16</v>
      </c>
    </row>
    <row r="3" spans="1:8" ht="17" thickBot="1" x14ac:dyDescent="0.25">
      <c r="A3" s="2">
        <v>36534</v>
      </c>
      <c r="B3" t="s">
        <v>41</v>
      </c>
      <c r="C3" t="s">
        <v>6</v>
      </c>
      <c r="D3" s="3">
        <v>29970</v>
      </c>
      <c r="E3" s="3">
        <v>29</v>
      </c>
      <c r="G3" s="15" t="s">
        <v>6</v>
      </c>
      <c r="H3" s="22">
        <f>SUMIF(C:C,G3,D:D)</f>
        <v>611780</v>
      </c>
    </row>
    <row r="4" spans="1:8" ht="17" thickBot="1" x14ac:dyDescent="0.25">
      <c r="A4" s="2">
        <v>36537</v>
      </c>
      <c r="B4" t="s">
        <v>75</v>
      </c>
      <c r="C4" t="s">
        <v>38</v>
      </c>
      <c r="D4" s="3">
        <v>27560</v>
      </c>
      <c r="E4" s="3">
        <v>21</v>
      </c>
      <c r="G4" s="16" t="s">
        <v>64</v>
      </c>
      <c r="H4" s="22">
        <f t="shared" ref="H4:H6" si="0">SUMIF(C:C,G4,D:D)</f>
        <v>30860</v>
      </c>
    </row>
    <row r="5" spans="1:8" ht="17" thickBot="1" x14ac:dyDescent="0.25">
      <c r="A5" s="2">
        <v>36543</v>
      </c>
      <c r="B5" t="s">
        <v>62</v>
      </c>
      <c r="C5" t="s">
        <v>28</v>
      </c>
      <c r="D5" s="3">
        <v>43500</v>
      </c>
      <c r="E5" s="3">
        <v>29</v>
      </c>
      <c r="G5" s="16" t="s">
        <v>26</v>
      </c>
      <c r="H5" s="22">
        <f t="shared" si="0"/>
        <v>54000</v>
      </c>
    </row>
    <row r="6" spans="1:8" ht="17" thickBot="1" x14ac:dyDescent="0.25">
      <c r="A6" s="2">
        <v>36545</v>
      </c>
      <c r="B6" t="s">
        <v>25</v>
      </c>
      <c r="C6" t="s">
        <v>26</v>
      </c>
      <c r="D6" s="3">
        <v>13500</v>
      </c>
      <c r="E6" s="3">
        <v>15</v>
      </c>
      <c r="G6" s="17" t="s">
        <v>58</v>
      </c>
      <c r="H6" s="22">
        <f t="shared" si="0"/>
        <v>6765600</v>
      </c>
    </row>
    <row r="7" spans="1:8" ht="14" thickBot="1" x14ac:dyDescent="0.2">
      <c r="A7" s="2">
        <v>36547</v>
      </c>
      <c r="B7" t="s">
        <v>13</v>
      </c>
      <c r="C7" t="s">
        <v>14</v>
      </c>
      <c r="D7" s="3">
        <v>50800</v>
      </c>
      <c r="E7" s="3">
        <v>22</v>
      </c>
      <c r="G7" s="18"/>
      <c r="H7" s="25"/>
    </row>
    <row r="8" spans="1:8" ht="17" thickBot="1" x14ac:dyDescent="0.25">
      <c r="A8" s="2">
        <v>36548</v>
      </c>
      <c r="B8" t="s">
        <v>34</v>
      </c>
      <c r="C8" t="s">
        <v>35</v>
      </c>
      <c r="D8" s="3">
        <v>98450</v>
      </c>
      <c r="E8" s="3">
        <v>21</v>
      </c>
      <c r="G8" s="19" t="s">
        <v>75</v>
      </c>
      <c r="H8" s="22">
        <f>SUMIF(B:B,G8,D:D)</f>
        <v>73450</v>
      </c>
    </row>
    <row r="9" spans="1:8" ht="17" thickBot="1" x14ac:dyDescent="0.25">
      <c r="A9" s="2">
        <v>36551</v>
      </c>
      <c r="B9" t="s">
        <v>75</v>
      </c>
      <c r="C9" t="s">
        <v>38</v>
      </c>
      <c r="D9" s="3">
        <v>45890</v>
      </c>
      <c r="E9" s="3">
        <v>18</v>
      </c>
      <c r="G9" s="20" t="s">
        <v>13</v>
      </c>
      <c r="H9" s="22">
        <f t="shared" ref="H9:H14" si="1">SUMIF(B:B,G9,D:D)</f>
        <v>50800</v>
      </c>
    </row>
    <row r="10" spans="1:8" ht="17" thickBot="1" x14ac:dyDescent="0.25">
      <c r="A10" s="2">
        <v>36552</v>
      </c>
      <c r="B10" t="s">
        <v>15</v>
      </c>
      <c r="C10" t="s">
        <v>16</v>
      </c>
      <c r="D10" s="3">
        <v>7950</v>
      </c>
      <c r="E10" s="3">
        <v>23</v>
      </c>
      <c r="G10" s="20" t="s">
        <v>34</v>
      </c>
      <c r="H10" s="22">
        <f t="shared" si="1"/>
        <v>98450</v>
      </c>
    </row>
    <row r="11" spans="1:8" ht="17" thickBot="1" x14ac:dyDescent="0.25">
      <c r="A11" s="2">
        <v>36553</v>
      </c>
      <c r="B11" t="s">
        <v>55</v>
      </c>
      <c r="C11" t="s">
        <v>35</v>
      </c>
      <c r="D11" s="3">
        <v>87450</v>
      </c>
      <c r="E11" s="3">
        <v>24</v>
      </c>
      <c r="G11" s="20" t="s">
        <v>15</v>
      </c>
      <c r="H11" s="22">
        <f t="shared" si="1"/>
        <v>7950</v>
      </c>
    </row>
    <row r="12" spans="1:8" ht="17" thickBot="1" x14ac:dyDescent="0.25">
      <c r="A12" s="2">
        <v>36554</v>
      </c>
      <c r="B12" t="s">
        <v>7</v>
      </c>
      <c r="C12" t="s">
        <v>8</v>
      </c>
      <c r="D12" s="3">
        <v>295000</v>
      </c>
      <c r="E12" s="3">
        <v>27</v>
      </c>
      <c r="G12" s="20" t="s">
        <v>31</v>
      </c>
      <c r="H12" s="22">
        <f t="shared" si="1"/>
        <v>283000</v>
      </c>
    </row>
    <row r="13" spans="1:8" ht="17" thickBot="1" x14ac:dyDescent="0.25">
      <c r="A13" s="2">
        <v>36555</v>
      </c>
      <c r="B13" t="s">
        <v>62</v>
      </c>
      <c r="C13" t="s">
        <v>48</v>
      </c>
      <c r="D13" s="3">
        <v>348980</v>
      </c>
      <c r="E13" s="3">
        <v>15</v>
      </c>
      <c r="G13" s="20" t="s">
        <v>59</v>
      </c>
      <c r="H13" s="22">
        <f t="shared" si="1"/>
        <v>107700</v>
      </c>
    </row>
    <row r="14" spans="1:8" ht="17" thickBot="1" x14ac:dyDescent="0.25">
      <c r="A14" s="2">
        <v>36558</v>
      </c>
      <c r="B14" t="s">
        <v>67</v>
      </c>
      <c r="C14" t="s">
        <v>68</v>
      </c>
      <c r="D14" s="3">
        <v>127490</v>
      </c>
      <c r="E14" s="3">
        <v>17</v>
      </c>
      <c r="G14" s="21" t="s">
        <v>29</v>
      </c>
      <c r="H14" s="22">
        <f t="shared" si="1"/>
        <v>27270</v>
      </c>
    </row>
    <row r="15" spans="1:8" x14ac:dyDescent="0.15">
      <c r="A15" s="2">
        <v>36558</v>
      </c>
      <c r="B15" t="s">
        <v>44</v>
      </c>
      <c r="C15" t="s">
        <v>38</v>
      </c>
      <c r="D15" s="3">
        <v>49400</v>
      </c>
      <c r="E15" s="3">
        <v>13</v>
      </c>
    </row>
    <row r="16" spans="1:8" x14ac:dyDescent="0.15">
      <c r="A16" s="2">
        <v>36573</v>
      </c>
      <c r="B16" t="s">
        <v>11</v>
      </c>
      <c r="C16" t="s">
        <v>12</v>
      </c>
      <c r="D16" s="3">
        <v>201000</v>
      </c>
      <c r="E16" s="3">
        <v>14</v>
      </c>
    </row>
    <row r="17" spans="1:5" x14ac:dyDescent="0.15">
      <c r="A17" s="2">
        <v>36573</v>
      </c>
      <c r="B17" t="s">
        <v>17</v>
      </c>
      <c r="C17" t="s">
        <v>12</v>
      </c>
      <c r="D17" s="3">
        <v>1368000</v>
      </c>
      <c r="E17" s="3">
        <v>28</v>
      </c>
    </row>
    <row r="18" spans="1:5" x14ac:dyDescent="0.15">
      <c r="A18" s="2">
        <v>36576</v>
      </c>
      <c r="B18" t="s">
        <v>52</v>
      </c>
      <c r="C18" t="s">
        <v>22</v>
      </c>
      <c r="D18" s="3">
        <v>36850</v>
      </c>
      <c r="E18" s="3">
        <v>16</v>
      </c>
    </row>
    <row r="19" spans="1:5" x14ac:dyDescent="0.15">
      <c r="A19" s="2">
        <v>36580</v>
      </c>
      <c r="B19" t="s">
        <v>31</v>
      </c>
      <c r="C19" t="s">
        <v>6</v>
      </c>
      <c r="D19" s="3">
        <v>151500</v>
      </c>
      <c r="E19" s="3">
        <v>13</v>
      </c>
    </row>
    <row r="20" spans="1:5" x14ac:dyDescent="0.15">
      <c r="A20" s="2">
        <v>36589</v>
      </c>
      <c r="B20" t="s">
        <v>25</v>
      </c>
      <c r="C20" t="s">
        <v>26</v>
      </c>
      <c r="D20" s="3">
        <v>13500</v>
      </c>
      <c r="E20" s="3">
        <v>20</v>
      </c>
    </row>
    <row r="21" spans="1:5" x14ac:dyDescent="0.15">
      <c r="A21" s="2">
        <v>36593</v>
      </c>
      <c r="B21" t="s">
        <v>9</v>
      </c>
      <c r="C21" t="s">
        <v>10</v>
      </c>
      <c r="D21" s="3">
        <v>17000</v>
      </c>
      <c r="E21" s="3">
        <v>18</v>
      </c>
    </row>
    <row r="22" spans="1:5" x14ac:dyDescent="0.15">
      <c r="A22" s="2">
        <v>36594</v>
      </c>
      <c r="B22" t="s">
        <v>59</v>
      </c>
      <c r="C22" t="s">
        <v>38</v>
      </c>
      <c r="D22" s="3">
        <v>35900</v>
      </c>
      <c r="E22" s="3">
        <v>16</v>
      </c>
    </row>
    <row r="23" spans="1:5" x14ac:dyDescent="0.15">
      <c r="A23" s="2">
        <v>36594</v>
      </c>
      <c r="B23" t="s">
        <v>29</v>
      </c>
      <c r="C23" t="s">
        <v>30</v>
      </c>
      <c r="D23" s="3">
        <v>27270</v>
      </c>
      <c r="E23" s="3">
        <v>14</v>
      </c>
    </row>
    <row r="24" spans="1:5" x14ac:dyDescent="0.15">
      <c r="A24" s="2">
        <v>36594</v>
      </c>
      <c r="B24" t="s">
        <v>56</v>
      </c>
      <c r="C24" t="s">
        <v>30</v>
      </c>
      <c r="D24" s="3">
        <v>13400</v>
      </c>
      <c r="E24" s="3">
        <v>14</v>
      </c>
    </row>
    <row r="25" spans="1:5" x14ac:dyDescent="0.15">
      <c r="A25" s="2">
        <v>36595</v>
      </c>
      <c r="B25" t="s">
        <v>31</v>
      </c>
      <c r="C25" t="s">
        <v>6</v>
      </c>
      <c r="D25" s="3">
        <v>19000</v>
      </c>
      <c r="E25" s="3">
        <v>17</v>
      </c>
    </row>
    <row r="26" spans="1:5" x14ac:dyDescent="0.15">
      <c r="A26" s="2">
        <v>36595</v>
      </c>
      <c r="B26" t="s">
        <v>59</v>
      </c>
      <c r="C26" t="s">
        <v>38</v>
      </c>
      <c r="D26" s="3">
        <v>71800</v>
      </c>
      <c r="E26" s="3">
        <v>18</v>
      </c>
    </row>
    <row r="27" spans="1:5" x14ac:dyDescent="0.15">
      <c r="A27" s="2">
        <v>36595</v>
      </c>
      <c r="B27" t="s">
        <v>56</v>
      </c>
      <c r="C27" t="s">
        <v>30</v>
      </c>
      <c r="D27" s="3">
        <v>12280</v>
      </c>
      <c r="E27" s="3">
        <v>14</v>
      </c>
    </row>
    <row r="28" spans="1:5" x14ac:dyDescent="0.15">
      <c r="A28" s="2">
        <v>36595</v>
      </c>
      <c r="B28" t="s">
        <v>56</v>
      </c>
      <c r="C28" t="s">
        <v>30</v>
      </c>
      <c r="D28" s="3">
        <v>14670</v>
      </c>
      <c r="E28" s="3">
        <v>17</v>
      </c>
    </row>
    <row r="29" spans="1:5" x14ac:dyDescent="0.15">
      <c r="A29" s="2">
        <v>36596</v>
      </c>
      <c r="B29" t="s">
        <v>5</v>
      </c>
      <c r="C29" t="s">
        <v>6</v>
      </c>
      <c r="D29" s="3">
        <v>163500</v>
      </c>
      <c r="E29" s="3">
        <v>18</v>
      </c>
    </row>
    <row r="30" spans="1:5" x14ac:dyDescent="0.15">
      <c r="A30" s="2">
        <v>36596</v>
      </c>
      <c r="B30" t="s">
        <v>47</v>
      </c>
      <c r="C30" t="s">
        <v>48</v>
      </c>
      <c r="D30" s="3">
        <v>183900</v>
      </c>
      <c r="E30" s="3">
        <v>26</v>
      </c>
    </row>
    <row r="31" spans="1:5" x14ac:dyDescent="0.15">
      <c r="A31" s="2">
        <v>36596</v>
      </c>
      <c r="B31" t="s">
        <v>39</v>
      </c>
      <c r="C31" t="s">
        <v>40</v>
      </c>
      <c r="D31" s="3">
        <v>43500</v>
      </c>
      <c r="E31" s="3">
        <v>16</v>
      </c>
    </row>
    <row r="32" spans="1:5" x14ac:dyDescent="0.15">
      <c r="A32" s="2">
        <v>36596</v>
      </c>
      <c r="B32" t="s">
        <v>36</v>
      </c>
      <c r="C32" t="s">
        <v>30</v>
      </c>
      <c r="D32" s="3">
        <v>10730</v>
      </c>
      <c r="E32" s="3">
        <v>17</v>
      </c>
    </row>
    <row r="33" spans="1:5" x14ac:dyDescent="0.15">
      <c r="A33" s="2">
        <v>36596</v>
      </c>
      <c r="B33" t="s">
        <v>49</v>
      </c>
      <c r="C33" t="s">
        <v>30</v>
      </c>
      <c r="D33" s="3">
        <v>11210</v>
      </c>
      <c r="E33" s="3">
        <v>25</v>
      </c>
    </row>
    <row r="34" spans="1:5" x14ac:dyDescent="0.15">
      <c r="A34" s="2">
        <v>36596</v>
      </c>
      <c r="B34" t="s">
        <v>20</v>
      </c>
      <c r="C34" t="s">
        <v>10</v>
      </c>
      <c r="D34" s="3">
        <v>127950</v>
      </c>
      <c r="E34" s="3">
        <v>20</v>
      </c>
    </row>
    <row r="35" spans="1:5" x14ac:dyDescent="0.15">
      <c r="A35" s="2">
        <v>36597</v>
      </c>
      <c r="B35" t="s">
        <v>18</v>
      </c>
      <c r="C35" t="s">
        <v>19</v>
      </c>
      <c r="D35" s="3">
        <v>20000</v>
      </c>
      <c r="E35" s="3">
        <v>23</v>
      </c>
    </row>
    <row r="36" spans="1:5" x14ac:dyDescent="0.15">
      <c r="A36" s="2">
        <v>36597</v>
      </c>
      <c r="B36" t="s">
        <v>46</v>
      </c>
      <c r="C36" t="s">
        <v>30</v>
      </c>
      <c r="D36" s="3">
        <v>7850</v>
      </c>
      <c r="E36" s="3">
        <v>25</v>
      </c>
    </row>
    <row r="37" spans="1:5" x14ac:dyDescent="0.15">
      <c r="A37" s="2">
        <v>36598</v>
      </c>
      <c r="B37" t="s">
        <v>67</v>
      </c>
      <c r="C37" t="s">
        <v>68</v>
      </c>
      <c r="D37" s="3">
        <v>127490</v>
      </c>
      <c r="E37" s="3">
        <v>21</v>
      </c>
    </row>
    <row r="38" spans="1:5" x14ac:dyDescent="0.15">
      <c r="A38" s="2">
        <v>36598</v>
      </c>
      <c r="B38" t="s">
        <v>21</v>
      </c>
      <c r="C38" t="s">
        <v>22</v>
      </c>
      <c r="D38" s="3">
        <v>3950</v>
      </c>
      <c r="E38" s="3">
        <v>17</v>
      </c>
    </row>
    <row r="39" spans="1:5" x14ac:dyDescent="0.15">
      <c r="A39" s="2">
        <v>36598</v>
      </c>
      <c r="B39" t="s">
        <v>61</v>
      </c>
      <c r="C39" t="s">
        <v>24</v>
      </c>
      <c r="D39" s="3">
        <v>50000</v>
      </c>
      <c r="E39" s="3">
        <v>15</v>
      </c>
    </row>
    <row r="40" spans="1:5" x14ac:dyDescent="0.15">
      <c r="A40" s="2">
        <v>36600</v>
      </c>
      <c r="B40" t="s">
        <v>42</v>
      </c>
      <c r="C40" t="s">
        <v>43</v>
      </c>
      <c r="D40" s="3">
        <v>16650</v>
      </c>
      <c r="E40" s="3">
        <v>24</v>
      </c>
    </row>
    <row r="41" spans="1:5" x14ac:dyDescent="0.15">
      <c r="A41" s="2">
        <v>36603</v>
      </c>
      <c r="B41" t="s">
        <v>44</v>
      </c>
      <c r="C41" t="s">
        <v>38</v>
      </c>
      <c r="D41" s="3">
        <v>87300</v>
      </c>
      <c r="E41" s="3">
        <v>18</v>
      </c>
    </row>
    <row r="42" spans="1:5" x14ac:dyDescent="0.15">
      <c r="A42" s="2">
        <v>36604</v>
      </c>
      <c r="B42" t="s">
        <v>70</v>
      </c>
      <c r="C42" t="s">
        <v>58</v>
      </c>
      <c r="D42" s="3">
        <v>2425000</v>
      </c>
      <c r="E42" s="3">
        <v>11</v>
      </c>
    </row>
    <row r="43" spans="1:5" x14ac:dyDescent="0.15">
      <c r="A43" s="2">
        <v>36608</v>
      </c>
      <c r="B43" t="s">
        <v>33</v>
      </c>
      <c r="C43" t="s">
        <v>6</v>
      </c>
      <c r="D43" s="3">
        <v>18230</v>
      </c>
      <c r="E43" s="3">
        <v>21</v>
      </c>
    </row>
    <row r="44" spans="1:5" x14ac:dyDescent="0.15">
      <c r="A44" s="2">
        <v>36609</v>
      </c>
      <c r="B44" t="s">
        <v>20</v>
      </c>
      <c r="C44" t="s">
        <v>10</v>
      </c>
      <c r="D44" s="3">
        <v>78530</v>
      </c>
      <c r="E44" s="3">
        <v>25</v>
      </c>
    </row>
    <row r="45" spans="1:5" x14ac:dyDescent="0.15">
      <c r="A45" s="2">
        <v>36609</v>
      </c>
      <c r="B45" t="s">
        <v>45</v>
      </c>
      <c r="C45" t="s">
        <v>10</v>
      </c>
      <c r="D45" s="3">
        <v>21000</v>
      </c>
      <c r="E45" s="3">
        <v>18</v>
      </c>
    </row>
    <row r="46" spans="1:5" x14ac:dyDescent="0.15">
      <c r="A46" s="2">
        <v>36612</v>
      </c>
      <c r="B46" t="s">
        <v>50</v>
      </c>
      <c r="C46" t="s">
        <v>51</v>
      </c>
      <c r="D46" s="3">
        <v>34900</v>
      </c>
      <c r="E46" s="3">
        <v>16</v>
      </c>
    </row>
    <row r="47" spans="1:5" x14ac:dyDescent="0.15">
      <c r="A47" s="2">
        <v>36614</v>
      </c>
      <c r="B47" t="s">
        <v>21</v>
      </c>
      <c r="C47" t="s">
        <v>22</v>
      </c>
      <c r="D47" s="3">
        <v>8000</v>
      </c>
      <c r="E47" s="3">
        <v>22</v>
      </c>
    </row>
    <row r="48" spans="1:5" x14ac:dyDescent="0.15">
      <c r="A48" s="2">
        <v>36614</v>
      </c>
      <c r="B48" t="s">
        <v>60</v>
      </c>
      <c r="C48" t="s">
        <v>38</v>
      </c>
      <c r="D48" s="3">
        <v>24660</v>
      </c>
      <c r="E48" s="3">
        <v>27</v>
      </c>
    </row>
    <row r="49" spans="1:5" x14ac:dyDescent="0.15">
      <c r="A49" s="2">
        <v>36616</v>
      </c>
      <c r="B49" t="s">
        <v>69</v>
      </c>
      <c r="C49" t="s">
        <v>51</v>
      </c>
      <c r="D49" s="3">
        <v>22450</v>
      </c>
      <c r="E49" s="3">
        <v>18</v>
      </c>
    </row>
    <row r="50" spans="1:5" x14ac:dyDescent="0.15">
      <c r="A50" s="2">
        <v>36622</v>
      </c>
      <c r="B50" t="s">
        <v>69</v>
      </c>
      <c r="C50" t="s">
        <v>51</v>
      </c>
      <c r="D50" s="3">
        <v>44950</v>
      </c>
      <c r="E50" s="3">
        <v>20</v>
      </c>
    </row>
    <row r="51" spans="1:5" x14ac:dyDescent="0.15">
      <c r="A51" s="2">
        <v>36624</v>
      </c>
      <c r="B51" t="s">
        <v>57</v>
      </c>
      <c r="C51" t="s">
        <v>58</v>
      </c>
      <c r="D51" s="3">
        <v>55600</v>
      </c>
      <c r="E51" s="3">
        <v>11</v>
      </c>
    </row>
    <row r="52" spans="1:5" x14ac:dyDescent="0.15">
      <c r="A52" s="2">
        <v>36629</v>
      </c>
      <c r="B52" t="s">
        <v>53</v>
      </c>
      <c r="C52" t="s">
        <v>54</v>
      </c>
      <c r="D52" s="3">
        <v>84500</v>
      </c>
      <c r="E52" s="3">
        <v>21</v>
      </c>
    </row>
    <row r="53" spans="1:5" x14ac:dyDescent="0.15">
      <c r="A53" s="2">
        <v>36632</v>
      </c>
      <c r="B53" t="s">
        <v>5</v>
      </c>
      <c r="C53" t="s">
        <v>6</v>
      </c>
      <c r="D53" s="3">
        <v>51800</v>
      </c>
      <c r="E53" s="3">
        <v>21</v>
      </c>
    </row>
    <row r="54" spans="1:5" x14ac:dyDescent="0.15">
      <c r="A54" s="2">
        <v>36632</v>
      </c>
      <c r="B54" t="s">
        <v>31</v>
      </c>
      <c r="C54" t="s">
        <v>6</v>
      </c>
      <c r="D54" s="3">
        <v>31000</v>
      </c>
      <c r="E54" s="3">
        <v>16</v>
      </c>
    </row>
    <row r="55" spans="1:5" x14ac:dyDescent="0.15">
      <c r="A55" s="2">
        <v>36637</v>
      </c>
      <c r="B55" t="s">
        <v>31</v>
      </c>
      <c r="C55" t="s">
        <v>6</v>
      </c>
      <c r="D55" s="3">
        <v>81500</v>
      </c>
      <c r="E55" s="3">
        <v>25</v>
      </c>
    </row>
    <row r="56" spans="1:5" x14ac:dyDescent="0.15">
      <c r="A56" s="2">
        <v>36637</v>
      </c>
      <c r="B56" t="s">
        <v>47</v>
      </c>
      <c r="C56" t="s">
        <v>48</v>
      </c>
      <c r="D56" s="3">
        <v>183900</v>
      </c>
      <c r="E56" s="3">
        <v>18</v>
      </c>
    </row>
    <row r="57" spans="1:5" x14ac:dyDescent="0.15">
      <c r="A57" s="2">
        <v>36637</v>
      </c>
      <c r="B57" t="s">
        <v>25</v>
      </c>
      <c r="C57" t="s">
        <v>26</v>
      </c>
      <c r="D57" s="3">
        <v>13500</v>
      </c>
      <c r="E57" s="3">
        <v>18</v>
      </c>
    </row>
    <row r="58" spans="1:5" x14ac:dyDescent="0.15">
      <c r="A58" s="2">
        <v>36638</v>
      </c>
      <c r="B58" t="s">
        <v>65</v>
      </c>
      <c r="C58" t="s">
        <v>64</v>
      </c>
      <c r="D58" s="3">
        <v>2010</v>
      </c>
      <c r="E58" s="3">
        <v>21</v>
      </c>
    </row>
    <row r="59" spans="1:5" x14ac:dyDescent="0.15">
      <c r="A59" s="2">
        <v>36640</v>
      </c>
      <c r="B59" t="s">
        <v>66</v>
      </c>
      <c r="C59" t="s">
        <v>51</v>
      </c>
      <c r="D59" s="3">
        <v>36300</v>
      </c>
      <c r="E59" s="3">
        <v>23</v>
      </c>
    </row>
    <row r="60" spans="1:5" x14ac:dyDescent="0.15">
      <c r="A60" s="2">
        <v>36642</v>
      </c>
      <c r="B60" t="s">
        <v>33</v>
      </c>
      <c r="C60" t="s">
        <v>6</v>
      </c>
      <c r="D60" s="3">
        <v>7640</v>
      </c>
      <c r="E60" s="3">
        <v>20</v>
      </c>
    </row>
    <row r="61" spans="1:5" x14ac:dyDescent="0.15">
      <c r="A61" s="2">
        <v>36644</v>
      </c>
      <c r="B61" t="s">
        <v>9</v>
      </c>
      <c r="C61" t="s">
        <v>10</v>
      </c>
      <c r="D61" s="3">
        <v>18000</v>
      </c>
      <c r="E61" s="3">
        <v>21</v>
      </c>
    </row>
    <row r="62" spans="1:5" x14ac:dyDescent="0.15">
      <c r="A62" s="2">
        <v>36645</v>
      </c>
      <c r="B62" t="s">
        <v>65</v>
      </c>
      <c r="C62" t="s">
        <v>64</v>
      </c>
      <c r="D62" s="3">
        <v>8730</v>
      </c>
      <c r="E62" s="3">
        <v>18</v>
      </c>
    </row>
    <row r="63" spans="1:5" x14ac:dyDescent="0.15">
      <c r="A63" s="2">
        <v>36645</v>
      </c>
      <c r="B63" t="s">
        <v>9</v>
      </c>
      <c r="C63" t="s">
        <v>10</v>
      </c>
      <c r="D63" s="3">
        <v>19000</v>
      </c>
      <c r="E63" s="3">
        <v>12</v>
      </c>
    </row>
    <row r="64" spans="1:5" x14ac:dyDescent="0.15">
      <c r="A64" s="2">
        <v>36649</v>
      </c>
      <c r="B64" t="s">
        <v>70</v>
      </c>
      <c r="C64" t="s">
        <v>58</v>
      </c>
      <c r="D64" s="3">
        <v>2425000</v>
      </c>
      <c r="E64" s="3">
        <v>21</v>
      </c>
    </row>
    <row r="65" spans="1:5" x14ac:dyDescent="0.15">
      <c r="A65" s="2">
        <v>36651</v>
      </c>
      <c r="B65" t="s">
        <v>70</v>
      </c>
      <c r="C65" t="s">
        <v>58</v>
      </c>
      <c r="D65" s="3">
        <v>1860000</v>
      </c>
      <c r="E65" s="3">
        <v>19</v>
      </c>
    </row>
    <row r="66" spans="1:5" x14ac:dyDescent="0.15">
      <c r="A66" s="2">
        <v>36652</v>
      </c>
      <c r="B66" t="s">
        <v>73</v>
      </c>
      <c r="C66" t="s">
        <v>64</v>
      </c>
      <c r="D66" s="3">
        <v>6570</v>
      </c>
      <c r="E66" s="3">
        <v>13</v>
      </c>
    </row>
    <row r="67" spans="1:5" x14ac:dyDescent="0.15">
      <c r="A67" s="2">
        <v>36653</v>
      </c>
      <c r="B67" t="s">
        <v>71</v>
      </c>
      <c r="C67" t="s">
        <v>72</v>
      </c>
      <c r="D67" s="3">
        <v>14000</v>
      </c>
      <c r="E67" s="3">
        <v>16</v>
      </c>
    </row>
    <row r="68" spans="1:5" x14ac:dyDescent="0.15">
      <c r="A68" s="2">
        <v>36665</v>
      </c>
      <c r="B68" t="s">
        <v>27</v>
      </c>
      <c r="C68" t="s">
        <v>28</v>
      </c>
      <c r="D68" s="3">
        <v>29980</v>
      </c>
      <c r="E68" s="3">
        <v>19</v>
      </c>
    </row>
    <row r="69" spans="1:5" x14ac:dyDescent="0.15">
      <c r="A69" s="2">
        <v>36666</v>
      </c>
      <c r="B69" t="s">
        <v>37</v>
      </c>
      <c r="C69" t="s">
        <v>38</v>
      </c>
      <c r="D69" s="3">
        <v>17950</v>
      </c>
      <c r="E69" s="3">
        <v>17</v>
      </c>
    </row>
    <row r="70" spans="1:5" x14ac:dyDescent="0.15">
      <c r="A70" s="2">
        <v>36666</v>
      </c>
      <c r="B70" t="s">
        <v>60</v>
      </c>
      <c r="C70" t="s">
        <v>38</v>
      </c>
      <c r="D70" s="3">
        <v>32320</v>
      </c>
      <c r="E70" s="3">
        <v>20</v>
      </c>
    </row>
    <row r="71" spans="1:5" x14ac:dyDescent="0.15">
      <c r="A71" s="2">
        <v>36667</v>
      </c>
      <c r="B71" t="s">
        <v>23</v>
      </c>
      <c r="C71" t="s">
        <v>24</v>
      </c>
      <c r="D71" s="3">
        <v>27350</v>
      </c>
      <c r="E71" s="3">
        <v>19</v>
      </c>
    </row>
    <row r="72" spans="1:5" x14ac:dyDescent="0.15">
      <c r="A72" s="2">
        <v>36672</v>
      </c>
      <c r="B72" t="s">
        <v>71</v>
      </c>
      <c r="C72" t="s">
        <v>72</v>
      </c>
      <c r="D72" s="3">
        <v>15000</v>
      </c>
      <c r="E72" s="3">
        <v>20</v>
      </c>
    </row>
    <row r="73" spans="1:5" x14ac:dyDescent="0.15">
      <c r="A73" s="2">
        <v>36681</v>
      </c>
      <c r="B73" t="s">
        <v>25</v>
      </c>
      <c r="C73" t="s">
        <v>26</v>
      </c>
      <c r="D73" s="3">
        <v>13500</v>
      </c>
      <c r="E73" s="3">
        <v>21</v>
      </c>
    </row>
    <row r="74" spans="1:5" x14ac:dyDescent="0.15">
      <c r="A74" s="2">
        <v>36682</v>
      </c>
      <c r="B74" t="s">
        <v>73</v>
      </c>
      <c r="C74" t="s">
        <v>64</v>
      </c>
      <c r="D74" s="3">
        <v>8600</v>
      </c>
      <c r="E74" s="3">
        <v>22</v>
      </c>
    </row>
    <row r="75" spans="1:5" x14ac:dyDescent="0.15">
      <c r="A75" s="2">
        <v>36685</v>
      </c>
      <c r="B75" t="s">
        <v>62</v>
      </c>
      <c r="C75" t="s">
        <v>28</v>
      </c>
      <c r="D75" s="3">
        <v>15980</v>
      </c>
      <c r="E75" s="3">
        <v>14</v>
      </c>
    </row>
    <row r="76" spans="1:5" x14ac:dyDescent="0.15">
      <c r="A76" s="2">
        <v>36686</v>
      </c>
      <c r="B76" t="s">
        <v>33</v>
      </c>
      <c r="C76" t="s">
        <v>6</v>
      </c>
      <c r="D76" s="3">
        <v>7640</v>
      </c>
      <c r="E76" s="3">
        <v>22</v>
      </c>
    </row>
    <row r="77" spans="1:5" x14ac:dyDescent="0.15">
      <c r="A77" s="2">
        <v>36697</v>
      </c>
      <c r="B77" t="s">
        <v>32</v>
      </c>
      <c r="C77" t="s">
        <v>22</v>
      </c>
      <c r="D77" s="3">
        <v>40650</v>
      </c>
      <c r="E77" s="3">
        <v>17</v>
      </c>
    </row>
    <row r="78" spans="1:5" x14ac:dyDescent="0.15">
      <c r="A78" s="2">
        <v>36700</v>
      </c>
      <c r="B78" t="s">
        <v>74</v>
      </c>
      <c r="C78" t="s">
        <v>38</v>
      </c>
      <c r="D78" s="3">
        <v>50280</v>
      </c>
      <c r="E78" s="3">
        <v>20</v>
      </c>
    </row>
    <row r="79" spans="1:5" x14ac:dyDescent="0.15">
      <c r="A79" s="2">
        <v>36700</v>
      </c>
      <c r="B79" t="s">
        <v>74</v>
      </c>
      <c r="C79" t="s">
        <v>38</v>
      </c>
      <c r="D79" s="3">
        <v>1050</v>
      </c>
      <c r="E79" s="3">
        <v>21</v>
      </c>
    </row>
    <row r="80" spans="1:5" x14ac:dyDescent="0.15">
      <c r="A80" s="2">
        <v>36705</v>
      </c>
      <c r="B80" t="s">
        <v>63</v>
      </c>
      <c r="C80" t="s">
        <v>64</v>
      </c>
      <c r="D80" s="3">
        <v>4950</v>
      </c>
      <c r="E80" s="3">
        <v>28</v>
      </c>
    </row>
  </sheetData>
  <sortState xmlns:xlrd2="http://schemas.microsoft.com/office/spreadsheetml/2017/richdata2" ref="A2:E456">
    <sortCondition ref="A1"/>
  </sortState>
  <phoneticPr fontId="0" type="noConversion"/>
  <printOptions gridLines="1" gridLinesSet="0"/>
  <pageMargins left="0.75" right="0.75" top="1" bottom="1" header="0.5" footer="0.5"/>
  <pageSetup orientation="portrait" horizontalDpi="0" verticalDpi="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D8C3F-135D-4280-BD95-8C23E6C981DD}">
  <dimension ref="A1:E110"/>
  <sheetViews>
    <sheetView zoomScale="150" zoomScaleNormal="150" workbookViewId="0">
      <selection activeCell="D9" sqref="D9"/>
    </sheetView>
  </sheetViews>
  <sheetFormatPr baseColWidth="10" defaultColWidth="8.83203125" defaultRowHeight="13" x14ac:dyDescent="0.15"/>
  <cols>
    <col min="1" max="1" width="22.83203125" bestFit="1" customWidth="1"/>
    <col min="2" max="2" width="10.5" bestFit="1" customWidth="1"/>
    <col min="3" max="3" width="2.5" customWidth="1"/>
    <col min="4" max="4" width="77" bestFit="1" customWidth="1"/>
    <col min="5" max="5" width="21.83203125" customWidth="1"/>
  </cols>
  <sheetData>
    <row r="1" spans="1:5" ht="14" thickBot="1" x14ac:dyDescent="0.2">
      <c r="A1" s="11" t="s">
        <v>185</v>
      </c>
      <c r="B1" s="11" t="s">
        <v>186</v>
      </c>
      <c r="D1" s="12" t="s">
        <v>200</v>
      </c>
      <c r="E1" s="12" t="s">
        <v>201</v>
      </c>
    </row>
    <row r="2" spans="1:5" ht="14" thickBot="1" x14ac:dyDescent="0.2">
      <c r="A2" s="26" t="s">
        <v>130</v>
      </c>
      <c r="B2" s="24">
        <v>125</v>
      </c>
      <c r="D2" s="23">
        <f>SUMIF(A:A,"OSSENIGO",B:B)</f>
        <v>130</v>
      </c>
      <c r="E2" s="23">
        <f>SUMIF(A:A,"AVIO",B:B)</f>
        <v>5</v>
      </c>
    </row>
    <row r="3" spans="1:5" ht="14" thickBot="1" x14ac:dyDescent="0.2">
      <c r="A3" s="24" t="s">
        <v>91</v>
      </c>
      <c r="B3" s="24">
        <v>63</v>
      </c>
    </row>
    <row r="4" spans="1:5" x14ac:dyDescent="0.15">
      <c r="A4" s="24" t="s">
        <v>109</v>
      </c>
      <c r="B4" s="24">
        <v>221</v>
      </c>
      <c r="D4" s="12" t="s">
        <v>196</v>
      </c>
    </row>
    <row r="5" spans="1:5" ht="14" thickBot="1" x14ac:dyDescent="0.2">
      <c r="A5" s="24" t="s">
        <v>125</v>
      </c>
      <c r="B5" s="24">
        <v>5</v>
      </c>
      <c r="D5" s="27">
        <f>COUNTIF(B:B,"&gt;100")</f>
        <v>11</v>
      </c>
    </row>
    <row r="6" spans="1:5" x14ac:dyDescent="0.15">
      <c r="A6" s="24" t="s">
        <v>146</v>
      </c>
      <c r="B6" s="24">
        <v>3</v>
      </c>
      <c r="D6" s="12" t="s">
        <v>197</v>
      </c>
    </row>
    <row r="7" spans="1:5" ht="14" thickBot="1" x14ac:dyDescent="0.2">
      <c r="A7" s="24" t="s">
        <v>84</v>
      </c>
      <c r="B7" s="24">
        <v>75</v>
      </c>
      <c r="D7">
        <f>COUNTIF(A2:A110,"C*")</f>
        <v>12</v>
      </c>
    </row>
    <row r="8" spans="1:5" ht="12.5" customHeight="1" x14ac:dyDescent="0.15">
      <c r="A8" s="24" t="s">
        <v>99</v>
      </c>
      <c r="B8" s="24">
        <v>35</v>
      </c>
      <c r="D8" s="12" t="s">
        <v>199</v>
      </c>
    </row>
    <row r="9" spans="1:5" ht="14" thickBot="1" x14ac:dyDescent="0.2">
      <c r="A9" s="24" t="s">
        <v>126</v>
      </c>
      <c r="B9" s="24">
        <v>5</v>
      </c>
      <c r="D9">
        <f>COUNTIFS(B:B,"&gt;=10",B:B,"&lt;=100")</f>
        <v>53</v>
      </c>
    </row>
    <row r="10" spans="1:5" x14ac:dyDescent="0.15">
      <c r="A10" s="24" t="s">
        <v>168</v>
      </c>
      <c r="B10" s="24">
        <v>48</v>
      </c>
      <c r="D10" s="12" t="s">
        <v>198</v>
      </c>
    </row>
    <row r="11" spans="1:5" x14ac:dyDescent="0.15">
      <c r="A11" s="24" t="s">
        <v>87</v>
      </c>
      <c r="B11" s="24">
        <v>29</v>
      </c>
      <c r="D11">
        <f>SUM(B:B)</f>
        <v>12564</v>
      </c>
    </row>
    <row r="12" spans="1:5" x14ac:dyDescent="0.15">
      <c r="A12" s="24" t="s">
        <v>119</v>
      </c>
      <c r="B12" s="24">
        <v>10</v>
      </c>
    </row>
    <row r="13" spans="1:5" x14ac:dyDescent="0.15">
      <c r="A13" s="24" t="s">
        <v>114</v>
      </c>
      <c r="B13" s="24">
        <v>30</v>
      </c>
    </row>
    <row r="14" spans="1:5" x14ac:dyDescent="0.15">
      <c r="A14" s="24" t="s">
        <v>83</v>
      </c>
      <c r="B14" s="24">
        <v>50</v>
      </c>
    </row>
    <row r="15" spans="1:5" x14ac:dyDescent="0.15">
      <c r="A15" s="24" t="s">
        <v>165</v>
      </c>
      <c r="B15" s="24">
        <v>30</v>
      </c>
    </row>
    <row r="16" spans="1:5" x14ac:dyDescent="0.15">
      <c r="A16" s="24" t="s">
        <v>171</v>
      </c>
      <c r="B16" s="24">
        <v>48</v>
      </c>
    </row>
    <row r="17" spans="1:2" x14ac:dyDescent="0.15">
      <c r="A17" s="24" t="s">
        <v>172</v>
      </c>
      <c r="B17" s="24">
        <v>18</v>
      </c>
    </row>
    <row r="18" spans="1:2" x14ac:dyDescent="0.15">
      <c r="A18" s="24" t="s">
        <v>170</v>
      </c>
      <c r="B18" s="24">
        <v>6</v>
      </c>
    </row>
    <row r="19" spans="1:2" x14ac:dyDescent="0.15">
      <c r="A19" s="24" t="s">
        <v>135</v>
      </c>
      <c r="B19" s="24">
        <v>9</v>
      </c>
    </row>
    <row r="20" spans="1:2" x14ac:dyDescent="0.15">
      <c r="A20" s="24" t="s">
        <v>97</v>
      </c>
      <c r="B20" s="24">
        <v>11</v>
      </c>
    </row>
    <row r="21" spans="1:2" x14ac:dyDescent="0.15">
      <c r="A21" s="24" t="s">
        <v>140</v>
      </c>
      <c r="B21" s="24">
        <v>3</v>
      </c>
    </row>
    <row r="22" spans="1:2" x14ac:dyDescent="0.15">
      <c r="A22" s="24" t="s">
        <v>123</v>
      </c>
      <c r="B22" s="24">
        <v>10</v>
      </c>
    </row>
    <row r="23" spans="1:2" x14ac:dyDescent="0.15">
      <c r="A23" s="24" t="s">
        <v>143</v>
      </c>
      <c r="B23" s="24">
        <v>27</v>
      </c>
    </row>
    <row r="24" spans="1:2" x14ac:dyDescent="0.15">
      <c r="A24" s="24" t="s">
        <v>175</v>
      </c>
      <c r="B24" s="24">
        <v>60</v>
      </c>
    </row>
    <row r="25" spans="1:2" x14ac:dyDescent="0.15">
      <c r="A25" s="24" t="s">
        <v>85</v>
      </c>
      <c r="B25" s="24">
        <v>72</v>
      </c>
    </row>
    <row r="26" spans="1:2" x14ac:dyDescent="0.15">
      <c r="A26" s="24" t="s">
        <v>148</v>
      </c>
      <c r="B26" s="24">
        <v>27</v>
      </c>
    </row>
    <row r="27" spans="1:2" x14ac:dyDescent="0.15">
      <c r="A27" s="24" t="s">
        <v>150</v>
      </c>
      <c r="B27" s="24">
        <v>3</v>
      </c>
    </row>
    <row r="28" spans="1:2" x14ac:dyDescent="0.15">
      <c r="A28" s="24" t="s">
        <v>95</v>
      </c>
      <c r="B28" s="24">
        <v>27</v>
      </c>
    </row>
    <row r="29" spans="1:2" x14ac:dyDescent="0.15">
      <c r="A29" s="24" t="s">
        <v>177</v>
      </c>
      <c r="B29" s="24">
        <v>6</v>
      </c>
    </row>
    <row r="30" spans="1:2" x14ac:dyDescent="0.15">
      <c r="A30" s="24" t="s">
        <v>164</v>
      </c>
      <c r="B30" s="24">
        <v>12</v>
      </c>
    </row>
    <row r="31" spans="1:2" x14ac:dyDescent="0.15">
      <c r="A31" s="24" t="s">
        <v>76</v>
      </c>
      <c r="B31" s="24">
        <v>10</v>
      </c>
    </row>
    <row r="32" spans="1:2" x14ac:dyDescent="0.15">
      <c r="A32" s="24" t="s">
        <v>162</v>
      </c>
      <c r="B32" s="24">
        <v>12</v>
      </c>
    </row>
    <row r="33" spans="1:2" x14ac:dyDescent="0.15">
      <c r="A33" s="24" t="s">
        <v>158</v>
      </c>
      <c r="B33" s="24">
        <v>69</v>
      </c>
    </row>
    <row r="34" spans="1:2" x14ac:dyDescent="0.15">
      <c r="A34" s="24" t="s">
        <v>173</v>
      </c>
      <c r="B34" s="24">
        <v>6</v>
      </c>
    </row>
    <row r="35" spans="1:2" x14ac:dyDescent="0.15">
      <c r="A35" s="24" t="s">
        <v>111</v>
      </c>
      <c r="B35" s="24">
        <v>5</v>
      </c>
    </row>
    <row r="36" spans="1:2" x14ac:dyDescent="0.15">
      <c r="A36" s="24" t="s">
        <v>141</v>
      </c>
      <c r="B36" s="24">
        <v>3</v>
      </c>
    </row>
    <row r="37" spans="1:2" x14ac:dyDescent="0.15">
      <c r="A37" s="24" t="s">
        <v>134</v>
      </c>
      <c r="B37" s="24">
        <v>33</v>
      </c>
    </row>
    <row r="38" spans="1:2" x14ac:dyDescent="0.15">
      <c r="A38" s="24" t="s">
        <v>133</v>
      </c>
      <c r="B38" s="24">
        <v>36</v>
      </c>
    </row>
    <row r="39" spans="1:2" x14ac:dyDescent="0.15">
      <c r="A39" s="24" t="s">
        <v>104</v>
      </c>
      <c r="B39" s="24">
        <v>7</v>
      </c>
    </row>
    <row r="40" spans="1:2" x14ac:dyDescent="0.15">
      <c r="A40" s="24" t="s">
        <v>131</v>
      </c>
      <c r="B40" s="24">
        <v>21</v>
      </c>
    </row>
    <row r="41" spans="1:2" x14ac:dyDescent="0.15">
      <c r="A41" s="24" t="s">
        <v>127</v>
      </c>
      <c r="B41" s="24">
        <v>5</v>
      </c>
    </row>
    <row r="42" spans="1:2" x14ac:dyDescent="0.15">
      <c r="A42" s="24" t="s">
        <v>103</v>
      </c>
      <c r="B42" s="24">
        <v>7</v>
      </c>
    </row>
    <row r="43" spans="1:2" x14ac:dyDescent="0.15">
      <c r="A43" s="24" t="s">
        <v>180</v>
      </c>
      <c r="B43" s="24">
        <v>84</v>
      </c>
    </row>
    <row r="44" spans="1:2" x14ac:dyDescent="0.15">
      <c r="A44" s="24" t="s">
        <v>160</v>
      </c>
      <c r="B44" s="24">
        <v>24</v>
      </c>
    </row>
    <row r="45" spans="1:2" x14ac:dyDescent="0.15">
      <c r="A45" s="24" t="s">
        <v>157</v>
      </c>
      <c r="B45" s="24">
        <v>9</v>
      </c>
    </row>
    <row r="46" spans="1:2" x14ac:dyDescent="0.15">
      <c r="A46" s="24" t="s">
        <v>155</v>
      </c>
      <c r="B46" s="24">
        <v>33</v>
      </c>
    </row>
    <row r="47" spans="1:2" x14ac:dyDescent="0.15">
      <c r="A47" s="24" t="s">
        <v>122</v>
      </c>
      <c r="B47" s="24">
        <v>100</v>
      </c>
    </row>
    <row r="48" spans="1:2" x14ac:dyDescent="0.15">
      <c r="A48" s="24" t="s">
        <v>151</v>
      </c>
      <c r="B48" s="24">
        <v>6</v>
      </c>
    </row>
    <row r="49" spans="1:2" x14ac:dyDescent="0.15">
      <c r="A49" s="24" t="s">
        <v>154</v>
      </c>
      <c r="B49" s="24">
        <v>3</v>
      </c>
    </row>
    <row r="50" spans="1:2" x14ac:dyDescent="0.15">
      <c r="A50" s="24" t="s">
        <v>120</v>
      </c>
      <c r="B50" s="24">
        <v>5</v>
      </c>
    </row>
    <row r="51" spans="1:2" x14ac:dyDescent="0.15">
      <c r="A51" s="24" t="s">
        <v>179</v>
      </c>
      <c r="B51" s="24">
        <v>30</v>
      </c>
    </row>
    <row r="52" spans="1:2" x14ac:dyDescent="0.15">
      <c r="A52" s="24" t="s">
        <v>130</v>
      </c>
      <c r="B52" s="24">
        <v>5</v>
      </c>
    </row>
    <row r="53" spans="1:2" x14ac:dyDescent="0.15">
      <c r="A53" s="24" t="s">
        <v>93</v>
      </c>
      <c r="B53" s="24">
        <v>9</v>
      </c>
    </row>
    <row r="54" spans="1:2" x14ac:dyDescent="0.15">
      <c r="A54" s="24" t="s">
        <v>81</v>
      </c>
      <c r="B54" s="24">
        <v>7</v>
      </c>
    </row>
    <row r="55" spans="1:2" x14ac:dyDescent="0.15">
      <c r="A55" s="24" t="s">
        <v>174</v>
      </c>
      <c r="B55" s="24">
        <v>138</v>
      </c>
    </row>
    <row r="56" spans="1:2" x14ac:dyDescent="0.15">
      <c r="A56" s="24" t="s">
        <v>128</v>
      </c>
      <c r="B56" s="24">
        <v>5</v>
      </c>
    </row>
    <row r="57" spans="1:2" x14ac:dyDescent="0.15">
      <c r="A57" s="24" t="s">
        <v>142</v>
      </c>
      <c r="B57" s="24">
        <v>3</v>
      </c>
    </row>
    <row r="58" spans="1:2" x14ac:dyDescent="0.15">
      <c r="A58" s="24" t="s">
        <v>124</v>
      </c>
      <c r="B58" s="24">
        <v>30</v>
      </c>
    </row>
    <row r="59" spans="1:2" x14ac:dyDescent="0.15">
      <c r="A59" s="24" t="s">
        <v>78</v>
      </c>
      <c r="B59" s="24">
        <v>101</v>
      </c>
    </row>
    <row r="60" spans="1:2" x14ac:dyDescent="0.15">
      <c r="A60" s="24" t="s">
        <v>92</v>
      </c>
      <c r="B60" s="24">
        <v>145</v>
      </c>
    </row>
    <row r="61" spans="1:2" x14ac:dyDescent="0.15">
      <c r="A61" s="24" t="s">
        <v>90</v>
      </c>
      <c r="B61" s="24">
        <v>23</v>
      </c>
    </row>
    <row r="62" spans="1:2" x14ac:dyDescent="0.15">
      <c r="A62" s="24" t="s">
        <v>176</v>
      </c>
      <c r="B62" s="24">
        <v>24</v>
      </c>
    </row>
    <row r="63" spans="1:2" x14ac:dyDescent="0.15">
      <c r="A63" s="24" t="s">
        <v>88</v>
      </c>
      <c r="B63" s="24">
        <v>28</v>
      </c>
    </row>
    <row r="64" spans="1:2" x14ac:dyDescent="0.15">
      <c r="A64" s="24" t="s">
        <v>108</v>
      </c>
      <c r="B64" s="24">
        <v>7</v>
      </c>
    </row>
    <row r="65" spans="1:2" x14ac:dyDescent="0.15">
      <c r="A65" s="24" t="s">
        <v>153</v>
      </c>
      <c r="B65" s="24">
        <v>6</v>
      </c>
    </row>
    <row r="66" spans="1:2" x14ac:dyDescent="0.15">
      <c r="A66" s="24" t="s">
        <v>149</v>
      </c>
      <c r="B66" s="24">
        <v>3</v>
      </c>
    </row>
    <row r="67" spans="1:2" x14ac:dyDescent="0.15">
      <c r="A67" s="24" t="s">
        <v>117</v>
      </c>
      <c r="B67" s="24">
        <v>5</v>
      </c>
    </row>
    <row r="68" spans="1:2" x14ac:dyDescent="0.15">
      <c r="A68" s="24" t="s">
        <v>181</v>
      </c>
      <c r="B68" s="24">
        <v>48</v>
      </c>
    </row>
    <row r="69" spans="1:2" x14ac:dyDescent="0.15">
      <c r="A69" s="24" t="s">
        <v>145</v>
      </c>
      <c r="B69" s="24">
        <v>6</v>
      </c>
    </row>
    <row r="70" spans="1:2" x14ac:dyDescent="0.15">
      <c r="A70" s="24" t="s">
        <v>110</v>
      </c>
      <c r="B70" s="24">
        <v>245</v>
      </c>
    </row>
    <row r="71" spans="1:2" x14ac:dyDescent="0.15">
      <c r="A71" s="24" t="s">
        <v>182</v>
      </c>
      <c r="B71" s="24">
        <v>6</v>
      </c>
    </row>
    <row r="72" spans="1:2" x14ac:dyDescent="0.15">
      <c r="A72" s="24" t="s">
        <v>159</v>
      </c>
      <c r="B72" s="24">
        <v>30</v>
      </c>
    </row>
    <row r="73" spans="1:2" x14ac:dyDescent="0.15">
      <c r="A73" s="24" t="s">
        <v>89</v>
      </c>
      <c r="B73" s="24">
        <v>27</v>
      </c>
    </row>
    <row r="74" spans="1:2" x14ac:dyDescent="0.15">
      <c r="A74" s="24" t="s">
        <v>118</v>
      </c>
      <c r="B74" s="24">
        <v>5</v>
      </c>
    </row>
    <row r="75" spans="1:2" x14ac:dyDescent="0.15">
      <c r="A75" s="24" t="s">
        <v>112</v>
      </c>
      <c r="B75" s="24">
        <v>153</v>
      </c>
    </row>
    <row r="76" spans="1:2" x14ac:dyDescent="0.15">
      <c r="A76" s="24" t="s">
        <v>178</v>
      </c>
      <c r="B76" s="24">
        <v>6</v>
      </c>
    </row>
    <row r="77" spans="1:2" x14ac:dyDescent="0.15">
      <c r="A77" s="24" t="s">
        <v>116</v>
      </c>
      <c r="B77" s="24">
        <v>10</v>
      </c>
    </row>
    <row r="78" spans="1:2" x14ac:dyDescent="0.15">
      <c r="A78" s="24" t="s">
        <v>113</v>
      </c>
      <c r="B78" s="24">
        <v>30</v>
      </c>
    </row>
    <row r="79" spans="1:2" x14ac:dyDescent="0.15">
      <c r="A79" s="24" t="s">
        <v>100</v>
      </c>
      <c r="B79" s="24">
        <v>28</v>
      </c>
    </row>
    <row r="80" spans="1:2" x14ac:dyDescent="0.15">
      <c r="A80" s="24" t="s">
        <v>107</v>
      </c>
      <c r="B80" s="24">
        <v>7</v>
      </c>
    </row>
    <row r="81" spans="1:2" x14ac:dyDescent="0.15">
      <c r="A81" s="24" t="s">
        <v>129</v>
      </c>
      <c r="B81" s="24">
        <v>10</v>
      </c>
    </row>
    <row r="82" spans="1:2" x14ac:dyDescent="0.15">
      <c r="A82" s="24" t="s">
        <v>115</v>
      </c>
      <c r="B82" s="24">
        <v>15</v>
      </c>
    </row>
    <row r="83" spans="1:2" x14ac:dyDescent="0.15">
      <c r="A83" s="24" t="s">
        <v>156</v>
      </c>
      <c r="B83" s="24">
        <v>15</v>
      </c>
    </row>
    <row r="84" spans="1:2" x14ac:dyDescent="0.15">
      <c r="A84" s="24" t="s">
        <v>98</v>
      </c>
      <c r="B84" s="24">
        <v>3</v>
      </c>
    </row>
    <row r="85" spans="1:2" x14ac:dyDescent="0.15">
      <c r="A85" s="24" t="s">
        <v>139</v>
      </c>
      <c r="B85" s="24">
        <v>3</v>
      </c>
    </row>
    <row r="86" spans="1:2" x14ac:dyDescent="0.15">
      <c r="A86" s="24" t="s">
        <v>132</v>
      </c>
      <c r="B86" s="24">
        <v>6</v>
      </c>
    </row>
    <row r="87" spans="1:2" x14ac:dyDescent="0.15">
      <c r="A87" s="24" t="s">
        <v>167</v>
      </c>
      <c r="B87" s="24">
        <v>6</v>
      </c>
    </row>
    <row r="88" spans="1:2" x14ac:dyDescent="0.15">
      <c r="A88" s="24" t="s">
        <v>80</v>
      </c>
      <c r="B88" s="24">
        <v>5</v>
      </c>
    </row>
    <row r="89" spans="1:2" x14ac:dyDescent="0.15">
      <c r="A89" s="24" t="s">
        <v>161</v>
      </c>
      <c r="B89" s="24">
        <v>33</v>
      </c>
    </row>
    <row r="90" spans="1:2" x14ac:dyDescent="0.15">
      <c r="A90" s="24" t="s">
        <v>82</v>
      </c>
      <c r="B90" s="24">
        <v>143</v>
      </c>
    </row>
    <row r="91" spans="1:2" x14ac:dyDescent="0.15">
      <c r="A91" s="24" t="s">
        <v>166</v>
      </c>
      <c r="B91" s="24">
        <v>6</v>
      </c>
    </row>
    <row r="92" spans="1:2" x14ac:dyDescent="0.15">
      <c r="A92" s="24" t="s">
        <v>169</v>
      </c>
      <c r="B92" s="24">
        <v>6</v>
      </c>
    </row>
    <row r="93" spans="1:2" x14ac:dyDescent="0.15">
      <c r="A93" s="24" t="s">
        <v>121</v>
      </c>
      <c r="B93" s="24">
        <v>35</v>
      </c>
    </row>
    <row r="94" spans="1:2" x14ac:dyDescent="0.15">
      <c r="A94" s="24" t="s">
        <v>86</v>
      </c>
      <c r="B94" s="24">
        <v>396</v>
      </c>
    </row>
    <row r="95" spans="1:2" x14ac:dyDescent="0.15">
      <c r="A95" s="24" t="s">
        <v>106</v>
      </c>
      <c r="B95" s="24">
        <v>14</v>
      </c>
    </row>
    <row r="96" spans="1:2" x14ac:dyDescent="0.15">
      <c r="A96" s="24" t="s">
        <v>183</v>
      </c>
      <c r="B96" s="24">
        <v>8879</v>
      </c>
    </row>
    <row r="97" spans="1:2" x14ac:dyDescent="0.15">
      <c r="A97" s="24" t="s">
        <v>144</v>
      </c>
      <c r="B97" s="24">
        <v>6</v>
      </c>
    </row>
    <row r="98" spans="1:2" x14ac:dyDescent="0.15">
      <c r="A98" s="24" t="s">
        <v>136</v>
      </c>
      <c r="B98" s="24">
        <v>3</v>
      </c>
    </row>
    <row r="99" spans="1:2" x14ac:dyDescent="0.15">
      <c r="A99" s="24" t="s">
        <v>147</v>
      </c>
      <c r="B99" s="24">
        <v>3</v>
      </c>
    </row>
    <row r="100" spans="1:2" x14ac:dyDescent="0.15">
      <c r="A100" s="24" t="s">
        <v>105</v>
      </c>
      <c r="B100" s="24">
        <v>42</v>
      </c>
    </row>
    <row r="101" spans="1:2" x14ac:dyDescent="0.15">
      <c r="A101" s="24" t="s">
        <v>137</v>
      </c>
      <c r="B101" s="24">
        <v>3</v>
      </c>
    </row>
    <row r="102" spans="1:2" x14ac:dyDescent="0.15">
      <c r="A102" s="24" t="s">
        <v>96</v>
      </c>
      <c r="B102" s="24">
        <v>12</v>
      </c>
    </row>
    <row r="103" spans="1:2" x14ac:dyDescent="0.15">
      <c r="A103" s="24" t="s">
        <v>102</v>
      </c>
      <c r="B103" s="24">
        <v>14</v>
      </c>
    </row>
    <row r="104" spans="1:2" x14ac:dyDescent="0.15">
      <c r="A104" s="24" t="s">
        <v>101</v>
      </c>
      <c r="B104" s="24">
        <v>14</v>
      </c>
    </row>
    <row r="105" spans="1:2" x14ac:dyDescent="0.15">
      <c r="A105" s="24" t="s">
        <v>94</v>
      </c>
      <c r="B105" s="24">
        <v>29</v>
      </c>
    </row>
    <row r="106" spans="1:2" x14ac:dyDescent="0.15">
      <c r="A106" s="24" t="s">
        <v>163</v>
      </c>
      <c r="B106" s="24">
        <v>12</v>
      </c>
    </row>
    <row r="107" spans="1:2" x14ac:dyDescent="0.15">
      <c r="A107" s="24" t="s">
        <v>79</v>
      </c>
      <c r="B107" s="24">
        <v>102</v>
      </c>
    </row>
    <row r="108" spans="1:2" x14ac:dyDescent="0.15">
      <c r="A108" s="24" t="s">
        <v>77</v>
      </c>
      <c r="B108" s="24">
        <v>9</v>
      </c>
    </row>
    <row r="109" spans="1:2" x14ac:dyDescent="0.15">
      <c r="A109" s="24" t="s">
        <v>138</v>
      </c>
      <c r="B109" s="24">
        <v>3</v>
      </c>
    </row>
    <row r="110" spans="1:2" x14ac:dyDescent="0.15">
      <c r="A110" s="24" t="s">
        <v>152</v>
      </c>
      <c r="B110" s="24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30</vt:i4>
      </vt:variant>
    </vt:vector>
  </HeadingPairs>
  <TitlesOfParts>
    <vt:vector size="33" baseType="lpstr">
      <vt:lpstr>Assoluti_Iva</vt:lpstr>
      <vt:lpstr>LOGICA</vt:lpstr>
      <vt:lpstr>CONTA</vt:lpstr>
      <vt:lpstr>abitanti</vt:lpstr>
      <vt:lpstr>ACCES</vt:lpstr>
      <vt:lpstr>Assoluti_Iva!Area_stampa</vt:lpstr>
      <vt:lpstr>CAB</vt:lpstr>
      <vt:lpstr>cate</vt:lpstr>
      <vt:lpstr>categoria</vt:lpstr>
      <vt:lpstr>CDROM</vt:lpstr>
      <vt:lpstr>clie</vt:lpstr>
      <vt:lpstr>clienti</vt:lpstr>
      <vt:lpstr>comuni</vt:lpstr>
      <vt:lpstr>CONT</vt:lpstr>
      <vt:lpstr>CPU</vt:lpstr>
      <vt:lpstr>DATI</vt:lpstr>
      <vt:lpstr>HD</vt:lpstr>
      <vt:lpstr>impo</vt:lpstr>
      <vt:lpstr>import</vt:lpstr>
      <vt:lpstr>IO_B</vt:lpstr>
      <vt:lpstr>MAIN_B</vt:lpstr>
      <vt:lpstr>MAST</vt:lpstr>
      <vt:lpstr>MEDIA</vt:lpstr>
      <vt:lpstr>MEM</vt:lpstr>
      <vt:lpstr>MO</vt:lpstr>
      <vt:lpstr>MODEM</vt:lpstr>
      <vt:lpstr>MON</vt:lpstr>
      <vt:lpstr>MONLCD</vt:lpstr>
      <vt:lpstr>SOFT</vt:lpstr>
      <vt:lpstr>sped</vt:lpstr>
      <vt:lpstr>STAMP</vt:lpstr>
      <vt:lpstr>TAST</vt:lpstr>
      <vt:lpstr>VIDEO_B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Subtotali e Somma.SE</dc:title>
  <dc:subject>Microsoft Office Excel 2010</dc:subject>
  <dc:creator>"Daniele Gagliardi" &lt;danygag82@gmail.com&gt;</dc:creator>
  <cp:keywords>corso excel</cp:keywords>
  <dc:description>Uso dei subtotali e della funzione SOMMA.SE in Microsoft Office Excel 2010</dc:description>
  <cp:lastModifiedBy>Daria Teresa Ghersini</cp:lastModifiedBy>
  <cp:revision>1</cp:revision>
  <cp:lastPrinted>2021-07-07T07:22:11Z</cp:lastPrinted>
  <dcterms:created xsi:type="dcterms:W3CDTF">2005-04-12T12:35:30Z</dcterms:created>
  <dcterms:modified xsi:type="dcterms:W3CDTF">2024-08-31T13:05:37Z</dcterms:modified>
  <cp:category>Excel;Corsi Excel</cp:category>
</cp:coreProperties>
</file>